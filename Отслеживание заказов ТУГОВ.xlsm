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Book"/>
  <bookViews>
    <workbookView xWindow="0" yWindow="0" windowWidth="17625" windowHeight="1230"/>
  </bookViews>
  <sheets>
    <sheet name="Otslezhivanie" sheetId="1" r:id="rId1"/>
    <sheet name="Check-list novii postavschik" sheetId="4" r:id="rId2"/>
    <sheet name="Архив!" sheetId="5" r:id="rId3"/>
    <sheet name="Лист1" sheetId="6" r:id="rId4"/>
  </sheets>
  <definedNames>
    <definedName name="_xlnm._FilterDatabase" localSheetId="0" hidden="1">Otslezhivanie!$A$2:$AJ$255</definedName>
  </definedNames>
  <calcPr calcId="124519"/>
</workbook>
</file>

<file path=xl/calcChain.xml><?xml version="1.0" encoding="utf-8"?>
<calcChain xmlns="http://schemas.openxmlformats.org/spreadsheetml/2006/main">
  <c r="U264" i="1"/>
  <c r="U217"/>
  <c r="V240"/>
  <c r="X240"/>
  <c r="AC161"/>
  <c r="U156"/>
  <c r="U230"/>
  <c r="V230" s="1"/>
  <c r="V254"/>
  <c r="AC254"/>
  <c r="X254"/>
  <c r="AC262"/>
  <c r="AC261"/>
  <c r="AC267"/>
  <c r="AC266"/>
  <c r="AC265"/>
  <c r="AC207"/>
  <c r="X207"/>
  <c r="V207"/>
  <c r="U207"/>
  <c r="AC239"/>
  <c r="AC240"/>
  <c r="AD236" l="1"/>
  <c r="U260" l="1"/>
  <c r="U259" l="1"/>
  <c r="U224"/>
  <c r="U223" l="1"/>
  <c r="U182"/>
  <c r="U181"/>
  <c r="AC156" l="1"/>
  <c r="X156"/>
  <c r="V156" l="1"/>
  <c r="U154"/>
  <c r="V154" s="1"/>
  <c r="U153" l="1"/>
  <c r="AC224"/>
  <c r="AC223"/>
  <c r="AC222"/>
  <c r="AC217"/>
  <c r="X217"/>
  <c r="X264" l="1"/>
  <c r="P259"/>
  <c r="Q259" s="1"/>
  <c r="AC259"/>
  <c r="AD259"/>
  <c r="U263"/>
  <c r="U238"/>
  <c r="V238" s="1"/>
  <c r="AC238"/>
  <c r="X248" l="1"/>
  <c r="AC216"/>
  <c r="U216"/>
  <c r="U236"/>
  <c r="AD216"/>
  <c r="AD217"/>
  <c r="U127"/>
  <c r="O126"/>
  <c r="Q126"/>
  <c r="U126"/>
  <c r="AC126"/>
  <c r="AD126"/>
  <c r="AC230"/>
  <c r="AD230"/>
  <c r="AC162"/>
  <c r="P160"/>
  <c r="Q160" s="1"/>
  <c r="AC160"/>
  <c r="AD160"/>
  <c r="X230" l="1"/>
  <c r="V264" l="1"/>
  <c r="Q264"/>
  <c r="AC264"/>
  <c r="AD264"/>
  <c r="U244"/>
  <c r="AD182"/>
  <c r="AC182"/>
  <c r="O182"/>
  <c r="U253"/>
  <c r="AD253"/>
  <c r="AC253"/>
  <c r="X89"/>
  <c r="AC89"/>
  <c r="AC88"/>
  <c r="X88"/>
  <c r="U206"/>
  <c r="AC237" l="1"/>
  <c r="U237"/>
  <c r="AD155"/>
  <c r="AC155"/>
  <c r="AD154"/>
  <c r="AC154"/>
  <c r="U155"/>
  <c r="X155" s="1"/>
  <c r="V155" l="1"/>
  <c r="AC244" l="1"/>
  <c r="U258"/>
  <c r="U222"/>
  <c r="P258"/>
  <c r="Q258" s="1"/>
  <c r="AC258"/>
  <c r="AD258"/>
  <c r="U152" l="1"/>
  <c r="U151"/>
  <c r="U86"/>
  <c r="AC86"/>
  <c r="AD83" l="1"/>
  <c r="AC83"/>
  <c r="Q83"/>
  <c r="O83"/>
  <c r="AD79"/>
  <c r="AC79"/>
  <c r="Q79"/>
  <c r="O79"/>
  <c r="U85"/>
  <c r="U87"/>
  <c r="U84"/>
  <c r="AC84"/>
  <c r="AC85"/>
  <c r="AC87"/>
  <c r="P205" l="1"/>
  <c r="Q205" s="1"/>
  <c r="U205"/>
  <c r="AC205"/>
  <c r="AD205"/>
  <c r="X231" l="1"/>
  <c r="AD77"/>
  <c r="AC77"/>
  <c r="Q77"/>
  <c r="O77"/>
  <c r="AD153"/>
  <c r="AC153"/>
  <c r="AD152"/>
  <c r="AC152"/>
  <c r="AD151"/>
  <c r="AC151"/>
  <c r="F33" i="6"/>
  <c r="F34"/>
  <c r="C36"/>
  <c r="D34"/>
  <c r="E34" s="1"/>
  <c r="D35"/>
  <c r="E35" s="1"/>
  <c r="F35" s="1"/>
  <c r="D33"/>
  <c r="E33" s="1"/>
  <c r="AD181" i="1"/>
  <c r="AC181"/>
  <c r="O181"/>
  <c r="O179"/>
  <c r="U179"/>
  <c r="AC179"/>
  <c r="AD179"/>
  <c r="O180"/>
  <c r="U180"/>
  <c r="AC180"/>
  <c r="AD180"/>
  <c r="O75"/>
  <c r="Q75"/>
  <c r="AC75"/>
  <c r="AD75"/>
  <c r="U125"/>
  <c r="O125"/>
  <c r="Q125"/>
  <c r="AC125"/>
  <c r="AD125"/>
  <c r="U194"/>
  <c r="V194" s="1"/>
  <c r="AC194"/>
  <c r="AD193"/>
  <c r="AA193"/>
  <c r="P193"/>
  <c r="Q193" s="1"/>
  <c r="O82"/>
  <c r="Q82"/>
  <c r="AC82"/>
  <c r="AD82"/>
  <c r="V183"/>
  <c r="O178"/>
  <c r="AD178"/>
  <c r="O124"/>
  <c r="Q124"/>
  <c r="AC124"/>
  <c r="AD124"/>
  <c r="P257"/>
  <c r="AD200"/>
  <c r="U200"/>
  <c r="V200" s="1"/>
  <c r="P200"/>
  <c r="Q200" s="1"/>
  <c r="AC200"/>
  <c r="V231" l="1"/>
  <c r="U150" l="1"/>
  <c r="U149"/>
  <c r="Q257" l="1"/>
  <c r="Q248" l="1"/>
  <c r="AD248"/>
  <c r="AC248"/>
  <c r="O123"/>
  <c r="Q123"/>
  <c r="AC123"/>
  <c r="AD123"/>
  <c r="AD257" l="1"/>
  <c r="AC257"/>
  <c r="AD252"/>
  <c r="AC252"/>
  <c r="Q252"/>
  <c r="Q263"/>
  <c r="AC263"/>
  <c r="AD263"/>
  <c r="AD5" l="1"/>
  <c r="P5"/>
  <c r="Q5" s="1"/>
  <c r="AG4"/>
  <c r="AH4" s="1"/>
  <c r="AD4"/>
  <c r="V4"/>
  <c r="P4"/>
  <c r="Q4" s="1"/>
  <c r="AG3"/>
  <c r="AD3"/>
  <c r="AC3"/>
  <c r="V3"/>
  <c r="P3"/>
  <c r="Q3" s="1"/>
  <c r="S44" i="5"/>
  <c r="T44" s="1"/>
  <c r="Y44"/>
  <c r="AF44"/>
  <c r="AG44"/>
  <c r="S45"/>
  <c r="T45" s="1"/>
  <c r="AG45"/>
  <c r="S46"/>
  <c r="T46"/>
  <c r="AG46"/>
  <c r="S47"/>
  <c r="AF47"/>
  <c r="AG47"/>
  <c r="S48"/>
  <c r="AF48"/>
  <c r="AG48"/>
  <c r="S49"/>
  <c r="T49" s="1"/>
  <c r="AF49"/>
  <c r="AG49"/>
  <c r="S50"/>
  <c r="T50" s="1"/>
  <c r="AF50"/>
  <c r="AG50"/>
  <c r="S51"/>
  <c r="AF51"/>
  <c r="AG51"/>
  <c r="S52"/>
  <c r="T52" s="1"/>
  <c r="AF52"/>
  <c r="AG52"/>
  <c r="S53"/>
  <c r="Y53"/>
  <c r="AG53"/>
  <c r="S54"/>
  <c r="AG54"/>
  <c r="S55"/>
  <c r="AF55"/>
  <c r="AG55"/>
  <c r="S56"/>
  <c r="AF56"/>
  <c r="AG56"/>
  <c r="S57"/>
  <c r="AF57"/>
  <c r="AG57"/>
  <c r="S58"/>
  <c r="T58" s="1"/>
  <c r="AG58"/>
  <c r="S59"/>
  <c r="T59" s="1"/>
  <c r="AG59"/>
  <c r="R60"/>
  <c r="S60" s="1"/>
  <c r="T60" s="1"/>
  <c r="Y60"/>
  <c r="AG60"/>
  <c r="R61"/>
  <c r="S61" s="1"/>
  <c r="T61" s="1"/>
  <c r="AG61"/>
  <c r="R62"/>
  <c r="S62" s="1"/>
  <c r="T62" s="1"/>
  <c r="AF62"/>
  <c r="AG62"/>
  <c r="AG63"/>
  <c r="Y64"/>
  <c r="AG64"/>
  <c r="AG65"/>
  <c r="X66"/>
  <c r="AG66"/>
  <c r="AF67"/>
  <c r="AG67"/>
  <c r="AD68"/>
  <c r="AF68"/>
  <c r="AG68"/>
  <c r="AG69"/>
  <c r="AD70"/>
  <c r="AF70"/>
  <c r="AG70"/>
  <c r="AI4" i="1" l="1"/>
  <c r="R63" i="5"/>
  <c r="R64" l="1"/>
  <c r="S63"/>
  <c r="T63" s="1"/>
  <c r="S64" l="1"/>
  <c r="T64" s="1"/>
  <c r="R65"/>
  <c r="S65" l="1"/>
  <c r="T65" s="1"/>
  <c r="R66"/>
  <c r="S66" l="1"/>
  <c r="T66" s="1"/>
  <c r="R67"/>
  <c r="S67" l="1"/>
  <c r="T67" s="1"/>
  <c r="R68"/>
  <c r="S68" l="1"/>
  <c r="T68" s="1"/>
  <c r="R69"/>
  <c r="S69" l="1"/>
  <c r="T69" s="1"/>
  <c r="R70"/>
  <c r="S70" s="1"/>
  <c r="T70" s="1"/>
  <c r="AD122" i="1" l="1"/>
  <c r="AC122"/>
  <c r="Q122"/>
  <c r="O122"/>
  <c r="AD81" l="1"/>
  <c r="AC81"/>
  <c r="Q81"/>
  <c r="O81"/>
  <c r="AD260" l="1"/>
  <c r="AC260"/>
  <c r="P260"/>
  <c r="Q260" s="1"/>
  <c r="AG42" i="5" l="1"/>
  <c r="AF42"/>
  <c r="X42"/>
  <c r="S42"/>
  <c r="AG41"/>
  <c r="X41"/>
  <c r="S41"/>
  <c r="AG40"/>
  <c r="X40"/>
  <c r="T40"/>
  <c r="S40"/>
  <c r="AG39"/>
  <c r="S39"/>
  <c r="AG38"/>
  <c r="X38"/>
  <c r="Y38" s="1"/>
  <c r="S38"/>
  <c r="T38" s="1"/>
  <c r="AG37"/>
  <c r="AF37"/>
  <c r="S37"/>
  <c r="T37" s="1"/>
  <c r="AG36"/>
  <c r="S36"/>
  <c r="AG35"/>
  <c r="AF35"/>
  <c r="X35"/>
  <c r="S35"/>
  <c r="T35" s="1"/>
  <c r="AG34"/>
  <c r="S34"/>
  <c r="T34" s="1"/>
  <c r="AG33"/>
  <c r="AF33"/>
  <c r="Y33"/>
  <c r="S33"/>
  <c r="T33" s="1"/>
  <c r="AG32"/>
  <c r="AF32"/>
  <c r="Y32"/>
  <c r="S32"/>
  <c r="T32" s="1"/>
  <c r="U146" i="1"/>
  <c r="P206"/>
  <c r="Q206" s="1"/>
  <c r="P204"/>
  <c r="AC206"/>
  <c r="AD206"/>
  <c r="P209"/>
  <c r="Q209" s="1"/>
  <c r="AD209"/>
  <c r="P210"/>
  <c r="Q210" s="1"/>
  <c r="AD210"/>
  <c r="S18" i="6"/>
  <c r="M30"/>
  <c r="M32"/>
  <c r="M31"/>
  <c r="M29"/>
  <c r="M18"/>
  <c r="M12"/>
  <c r="M11"/>
  <c r="M10"/>
  <c r="U255" i="1" l="1"/>
  <c r="AD235"/>
  <c r="AD234"/>
  <c r="AC235"/>
  <c r="AC226"/>
  <c r="AC231"/>
  <c r="P226" l="1"/>
  <c r="AD93"/>
  <c r="P93"/>
  <c r="AD256" l="1"/>
  <c r="AC256"/>
  <c r="U256"/>
  <c r="P256"/>
  <c r="Q256" s="1"/>
  <c r="AC183" l="1"/>
  <c r="O183"/>
  <c r="AD183"/>
  <c r="O235"/>
  <c r="P235" s="1"/>
  <c r="O221"/>
  <c r="P221" s="1"/>
  <c r="Q221" s="1"/>
  <c r="AD221"/>
  <c r="AC221"/>
  <c r="P255"/>
  <c r="P247"/>
  <c r="P251"/>
  <c r="AC229"/>
  <c r="P199"/>
  <c r="U247"/>
  <c r="U251"/>
  <c r="Q204"/>
  <c r="AD204"/>
  <c r="AC204"/>
  <c r="P243"/>
  <c r="Q243" s="1"/>
  <c r="U243"/>
  <c r="AC243"/>
  <c r="AD243"/>
  <c r="AD80" l="1"/>
  <c r="AC80"/>
  <c r="Q80"/>
  <c r="O80"/>
  <c r="AD78"/>
  <c r="AC78"/>
  <c r="Q78"/>
  <c r="O78"/>
  <c r="U119" l="1"/>
  <c r="U147"/>
  <c r="O150"/>
  <c r="P150" s="1"/>
  <c r="Q150" s="1"/>
  <c r="O149"/>
  <c r="P149" s="1"/>
  <c r="Q149" s="1"/>
  <c r="O148"/>
  <c r="P148" s="1"/>
  <c r="Q148" s="1"/>
  <c r="AC150"/>
  <c r="AD150"/>
  <c r="Q255"/>
  <c r="Q251"/>
  <c r="Q247"/>
  <c r="P246"/>
  <c r="Q246" s="1"/>
  <c r="AC255"/>
  <c r="AC251"/>
  <c r="AC247"/>
  <c r="AC246"/>
  <c r="AD255"/>
  <c r="AD251"/>
  <c r="AD199" l="1"/>
  <c r="AC199"/>
  <c r="Q199"/>
  <c r="AD247" l="1"/>
  <c r="AD246"/>
  <c r="M242"/>
  <c r="U242" s="1"/>
  <c r="AC242"/>
  <c r="AD242" l="1"/>
  <c r="P242"/>
  <c r="Q242" s="1"/>
  <c r="AD231" l="1"/>
  <c r="Q127"/>
  <c r="AC127"/>
  <c r="AD127"/>
  <c r="O121"/>
  <c r="P121" s="1"/>
  <c r="O127"/>
  <c r="AC149"/>
  <c r="AD149"/>
  <c r="AC148" l="1"/>
  <c r="AD148"/>
  <c r="B20" i="6"/>
  <c r="C20"/>
  <c r="AC73" i="1"/>
  <c r="AD73"/>
  <c r="AC74"/>
  <c r="AD74"/>
  <c r="AC76"/>
  <c r="AD76"/>
  <c r="Q73"/>
  <c r="Q74"/>
  <c r="Q76"/>
  <c r="O73"/>
  <c r="O74"/>
  <c r="O76"/>
  <c r="O72"/>
  <c r="M90"/>
  <c r="AD90" s="1"/>
  <c r="AC90"/>
  <c r="P91"/>
  <c r="AC91"/>
  <c r="AD91"/>
  <c r="P92"/>
  <c r="U92"/>
  <c r="AD92"/>
  <c r="P94"/>
  <c r="Q94" s="1"/>
  <c r="V94"/>
  <c r="AC94"/>
  <c r="AD94"/>
  <c r="P90" l="1"/>
  <c r="AC71" l="1"/>
  <c r="AD71"/>
  <c r="AC72"/>
  <c r="AD72"/>
  <c r="U72"/>
  <c r="Q72"/>
  <c r="Q71"/>
  <c r="AC177"/>
  <c r="AD177"/>
  <c r="O177"/>
  <c r="P177" s="1"/>
  <c r="Q121" l="1"/>
  <c r="V121"/>
  <c r="AC121"/>
  <c r="AD121"/>
  <c r="AC146" l="1"/>
  <c r="AD146"/>
  <c r="AC147"/>
  <c r="AD147"/>
  <c r="O147"/>
  <c r="P147" s="1"/>
  <c r="Q147" s="1"/>
  <c r="O146"/>
  <c r="P146" s="1"/>
  <c r="Q146" s="1"/>
  <c r="AC120"/>
  <c r="O120"/>
  <c r="P120" s="1"/>
  <c r="Q120" s="1"/>
  <c r="AD120"/>
  <c r="U69"/>
  <c r="V69" s="1"/>
  <c r="U68"/>
  <c r="V68" s="1"/>
  <c r="U67"/>
  <c r="V67" s="1"/>
  <c r="Q70"/>
  <c r="Q69"/>
  <c r="Q68"/>
  <c r="Q67"/>
  <c r="U229"/>
  <c r="AC67"/>
  <c r="AC68"/>
  <c r="AC69"/>
  <c r="AC70"/>
  <c r="AD67"/>
  <c r="AD68"/>
  <c r="AD69"/>
  <c r="AD70"/>
  <c r="AC203" l="1"/>
  <c r="U203"/>
  <c r="P203"/>
  <c r="AA203"/>
  <c r="AD203"/>
  <c r="AD226" l="1"/>
  <c r="Q226"/>
  <c r="V229"/>
  <c r="P229"/>
  <c r="Q229" s="1"/>
  <c r="AD229"/>
  <c r="O234"/>
  <c r="P234" s="1"/>
  <c r="AA234"/>
  <c r="AC234"/>
  <c r="AC119" l="1"/>
  <c r="O119"/>
  <c r="P119" s="1"/>
  <c r="Q119" s="1"/>
  <c r="AD119"/>
  <c r="Q66" l="1"/>
  <c r="Q65"/>
  <c r="AC65" l="1"/>
  <c r="AD65"/>
  <c r="AC66"/>
  <c r="AD66"/>
  <c r="U65"/>
  <c r="V65" s="1"/>
  <c r="U66"/>
  <c r="V66" s="1"/>
  <c r="U64"/>
  <c r="AC176"/>
  <c r="O176"/>
  <c r="P176" s="1"/>
  <c r="AD176"/>
  <c r="U145" l="1"/>
  <c r="AC220" l="1"/>
  <c r="AC215"/>
  <c r="AD215"/>
  <c r="AD220"/>
  <c r="AC145"/>
  <c r="O145"/>
  <c r="P145" s="1"/>
  <c r="Q145" s="1"/>
  <c r="AA145"/>
  <c r="AD145"/>
  <c r="V220"/>
  <c r="O220"/>
  <c r="P220" s="1"/>
  <c r="Q220" s="1"/>
  <c r="O215"/>
  <c r="P215" s="1"/>
  <c r="Q215" s="1"/>
  <c r="V215"/>
  <c r="O233"/>
  <c r="P194" l="1"/>
  <c r="Q194" s="1"/>
  <c r="AD194" l="1"/>
  <c r="AA194"/>
  <c r="V60"/>
  <c r="V59"/>
  <c r="U212" l="1"/>
  <c r="P212"/>
  <c r="Q212" s="1"/>
  <c r="AA212"/>
  <c r="AD212"/>
  <c r="U245" l="1"/>
  <c r="P245"/>
  <c r="AA245"/>
  <c r="AD245"/>
  <c r="P233" l="1"/>
  <c r="AA233"/>
  <c r="AC233"/>
  <c r="AD233"/>
  <c r="P202" l="1"/>
  <c r="U61" l="1"/>
  <c r="V61" s="1"/>
  <c r="U62"/>
  <c r="V62" s="1"/>
  <c r="U63"/>
  <c r="V64"/>
  <c r="U57"/>
  <c r="V57" s="1"/>
  <c r="O57"/>
  <c r="P57" s="1"/>
  <c r="AA57"/>
  <c r="AC57"/>
  <c r="AD57"/>
  <c r="O61"/>
  <c r="P61" s="1"/>
  <c r="AA61"/>
  <c r="AC61"/>
  <c r="AD61"/>
  <c r="O62"/>
  <c r="P62" s="1"/>
  <c r="AA62"/>
  <c r="AC62"/>
  <c r="AD62"/>
  <c r="O63"/>
  <c r="P63" s="1"/>
  <c r="AA63"/>
  <c r="AC63"/>
  <c r="AD63"/>
  <c r="O64"/>
  <c r="P64" s="1"/>
  <c r="Q64" s="1"/>
  <c r="AA64"/>
  <c r="AC64"/>
  <c r="AD64"/>
  <c r="V63" l="1"/>
  <c r="AD241" l="1"/>
  <c r="AA241"/>
  <c r="P241"/>
  <c r="Q241" s="1"/>
  <c r="V192"/>
  <c r="AD198"/>
  <c r="AA198"/>
  <c r="P198"/>
  <c r="Q198" s="1"/>
  <c r="P225" l="1"/>
  <c r="AA232"/>
  <c r="AD232"/>
  <c r="P232"/>
  <c r="Q232" s="1"/>
  <c r="V118" l="1"/>
  <c r="V117"/>
  <c r="V116"/>
  <c r="AA116"/>
  <c r="AD116"/>
  <c r="AA117"/>
  <c r="AD117"/>
  <c r="AD118"/>
  <c r="O116"/>
  <c r="P116" s="1"/>
  <c r="Q116" s="1"/>
  <c r="O117"/>
  <c r="P117" s="1"/>
  <c r="Q117" s="1"/>
  <c r="O118"/>
  <c r="P118" s="1"/>
  <c r="Q118" s="1"/>
  <c r="P228"/>
  <c r="AD228"/>
  <c r="AA228"/>
  <c r="AD30" i="5" l="1"/>
  <c r="AC30"/>
  <c r="AA30"/>
  <c r="X30"/>
  <c r="V30"/>
  <c r="Q30"/>
  <c r="AD29"/>
  <c r="AC29"/>
  <c r="AA29"/>
  <c r="X29"/>
  <c r="U29"/>
  <c r="V29" s="1"/>
  <c r="O29"/>
  <c r="P29" s="1"/>
  <c r="AD28"/>
  <c r="AC28"/>
  <c r="P28"/>
  <c r="AD27"/>
  <c r="P27"/>
  <c r="Q27" s="1"/>
  <c r="AC26"/>
  <c r="M26"/>
  <c r="AD26" s="1"/>
  <c r="AC25"/>
  <c r="M25"/>
  <c r="AD25" s="1"/>
  <c r="AD24"/>
  <c r="M24"/>
  <c r="P24" s="1"/>
  <c r="Q24" s="1"/>
  <c r="AC23"/>
  <c r="V23"/>
  <c r="M23"/>
  <c r="P23" s="1"/>
  <c r="Q23" s="1"/>
  <c r="AC22"/>
  <c r="U22"/>
  <c r="V22" s="1"/>
  <c r="M22"/>
  <c r="AD22" s="1"/>
  <c r="AC20"/>
  <c r="M20"/>
  <c r="P20" s="1"/>
  <c r="AC19"/>
  <c r="M19"/>
  <c r="AD19" s="1"/>
  <c r="M18"/>
  <c r="AD18" s="1"/>
  <c r="M17"/>
  <c r="AD17" s="1"/>
  <c r="V16"/>
  <c r="M16"/>
  <c r="AD16" s="1"/>
  <c r="AC15"/>
  <c r="V15"/>
  <c r="M15"/>
  <c r="AD15" s="1"/>
  <c r="AC14"/>
  <c r="V14"/>
  <c r="M14"/>
  <c r="AD14" s="1"/>
  <c r="AC13"/>
  <c r="V13"/>
  <c r="P13"/>
  <c r="Q13" s="1"/>
  <c r="M13"/>
  <c r="AD13" s="1"/>
  <c r="AC12"/>
  <c r="V12"/>
  <c r="P12"/>
  <c r="Q12" s="1"/>
  <c r="M12"/>
  <c r="AD12" s="1"/>
  <c r="AD10"/>
  <c r="AC10"/>
  <c r="AA10"/>
  <c r="U10"/>
  <c r="V10" s="1"/>
  <c r="K10"/>
  <c r="AD9"/>
  <c r="AC9"/>
  <c r="AA9"/>
  <c r="V9"/>
  <c r="O9"/>
  <c r="O10" s="1"/>
  <c r="P10" s="1"/>
  <c r="Q10" s="1"/>
  <c r="K9"/>
  <c r="AD8"/>
  <c r="AC8"/>
  <c r="U8"/>
  <c r="P8"/>
  <c r="Q8" s="1"/>
  <c r="AC7"/>
  <c r="M7"/>
  <c r="P7" s="1"/>
  <c r="M6"/>
  <c r="AD6" s="1"/>
  <c r="P5"/>
  <c r="M5"/>
  <c r="AD5" s="1"/>
  <c r="AC4"/>
  <c r="V4"/>
  <c r="M4"/>
  <c r="P4" s="1"/>
  <c r="Q4" s="1"/>
  <c r="AD3"/>
  <c r="AC3"/>
  <c r="V3"/>
  <c r="P3"/>
  <c r="Q3" s="1"/>
  <c r="AD2"/>
  <c r="AC2"/>
  <c r="V2"/>
  <c r="Q2"/>
  <c r="P2"/>
  <c r="U20" l="1"/>
  <c r="AD23"/>
  <c r="P25"/>
  <c r="P26"/>
  <c r="P22"/>
  <c r="Q22" s="1"/>
  <c r="P15"/>
  <c r="Q15" s="1"/>
  <c r="P16"/>
  <c r="Q16" s="1"/>
  <c r="P14"/>
  <c r="Q14" s="1"/>
  <c r="AD20"/>
  <c r="AD7"/>
  <c r="P9"/>
  <c r="Q9" s="1"/>
  <c r="P17"/>
  <c r="Q17" s="1"/>
  <c r="P18"/>
  <c r="Q18" s="1"/>
  <c r="P19"/>
  <c r="AD4"/>
  <c r="P6"/>
  <c r="AC58" i="1"/>
  <c r="AD58"/>
  <c r="AA59"/>
  <c r="AC59"/>
  <c r="AD59"/>
  <c r="AA60"/>
  <c r="AC60"/>
  <c r="AD60"/>
  <c r="O60"/>
  <c r="P60" s="1"/>
  <c r="O59"/>
  <c r="P59" s="1"/>
  <c r="O58"/>
  <c r="P58" s="1"/>
  <c r="P201" l="1"/>
  <c r="P144" l="1"/>
  <c r="P159"/>
  <c r="V55" l="1"/>
  <c r="O55"/>
  <c r="P55" s="1"/>
  <c r="Q55" s="1"/>
  <c r="AD55"/>
  <c r="U225" l="1"/>
  <c r="AD159"/>
  <c r="AD144"/>
  <c r="AA159"/>
  <c r="AA144"/>
  <c r="Q144"/>
  <c r="AD192"/>
  <c r="AA192"/>
  <c r="O192"/>
  <c r="P192" s="1"/>
  <c r="Q202" l="1"/>
  <c r="AA202"/>
  <c r="AD202"/>
  <c r="AD201" l="1"/>
  <c r="AA219" l="1"/>
  <c r="U214"/>
  <c r="P219"/>
  <c r="Q219" s="1"/>
  <c r="AD219"/>
  <c r="P214"/>
  <c r="Q214" s="1"/>
  <c r="AD214"/>
  <c r="AC211" l="1"/>
  <c r="AA211"/>
  <c r="P211"/>
  <c r="Q211" s="1"/>
  <c r="AD211"/>
  <c r="O56" l="1"/>
  <c r="P56" s="1"/>
  <c r="Q56" s="1"/>
  <c r="AD56"/>
  <c r="AD54" l="1"/>
  <c r="AC54"/>
  <c r="O54"/>
  <c r="P54" s="1"/>
  <c r="Q54" s="1"/>
  <c r="AD142" l="1"/>
  <c r="O142"/>
  <c r="P142" s="1"/>
  <c r="AA115"/>
  <c r="AC115"/>
  <c r="AD115"/>
  <c r="O115"/>
  <c r="P115" s="1"/>
  <c r="Q115" s="1"/>
  <c r="AA225" l="1"/>
  <c r="AC225"/>
  <c r="AD225"/>
  <c r="AV287" l="1"/>
  <c r="AV288"/>
  <c r="AV289"/>
  <c r="AV290"/>
  <c r="AV291"/>
  <c r="AV286"/>
  <c r="AT287"/>
  <c r="AT288"/>
  <c r="AT289"/>
  <c r="AT290"/>
  <c r="AT291"/>
  <c r="AT286"/>
  <c r="O175" l="1"/>
  <c r="P175" s="1"/>
  <c r="Q175" s="1"/>
  <c r="AD175"/>
  <c r="AC45" l="1"/>
  <c r="O45"/>
  <c r="P45" s="1"/>
  <c r="Q45" s="1"/>
  <c r="AD45"/>
  <c r="O191" l="1"/>
  <c r="P191" s="1"/>
  <c r="Q191" s="1"/>
  <c r="O47"/>
  <c r="P47" s="1"/>
  <c r="AD47"/>
  <c r="O48"/>
  <c r="P48" s="1"/>
  <c r="V48"/>
  <c r="AC48"/>
  <c r="AD48"/>
  <c r="AD191" l="1"/>
  <c r="O174"/>
  <c r="P174" s="1"/>
  <c r="Q174" s="1"/>
  <c r="AD174"/>
  <c r="AC197" l="1"/>
  <c r="AA197"/>
  <c r="P197"/>
  <c r="Q197" s="1"/>
  <c r="AD197"/>
  <c r="O143"/>
  <c r="P143" s="1"/>
  <c r="Q143" s="1"/>
  <c r="AD143"/>
  <c r="P218" l="1"/>
  <c r="Q218" s="1"/>
  <c r="AD218"/>
  <c r="O114" l="1"/>
  <c r="P114" s="1"/>
  <c r="Q114" s="1"/>
  <c r="AA114"/>
  <c r="AC114"/>
  <c r="AD114"/>
  <c r="P213" l="1"/>
  <c r="Q213" s="1"/>
  <c r="AD213"/>
  <c r="O44" l="1"/>
  <c r="P44" s="1"/>
  <c r="Q44" s="1"/>
  <c r="V44"/>
  <c r="AD44"/>
  <c r="O42"/>
  <c r="P42" s="1"/>
  <c r="Q42" s="1"/>
  <c r="AC42"/>
  <c r="AD42"/>
  <c r="O41" l="1"/>
  <c r="P41" s="1"/>
  <c r="O43"/>
  <c r="O46"/>
  <c r="O49"/>
  <c r="O50"/>
  <c r="O51"/>
  <c r="O52"/>
  <c r="O53"/>
  <c r="O40"/>
  <c r="AC41"/>
  <c r="AD41"/>
  <c r="O103" l="1"/>
  <c r="O104"/>
  <c r="O105"/>
  <c r="O106"/>
  <c r="O107"/>
  <c r="O108"/>
  <c r="O109"/>
  <c r="O110"/>
  <c r="P110" s="1"/>
  <c r="Q110" s="1"/>
  <c r="O112"/>
  <c r="P112" s="1"/>
  <c r="Q112" s="1"/>
  <c r="O113"/>
  <c r="O111"/>
  <c r="P111" s="1"/>
  <c r="Q111" s="1"/>
  <c r="AD111"/>
  <c r="AC112"/>
  <c r="AD112"/>
  <c r="P113"/>
  <c r="Q113" s="1"/>
  <c r="AC113"/>
  <c r="AD113"/>
  <c r="AD110"/>
  <c r="P51" l="1"/>
  <c r="Q51" s="1"/>
  <c r="V51"/>
  <c r="AC51"/>
  <c r="AD51"/>
  <c r="P52"/>
  <c r="Q52" s="1"/>
  <c r="AC52"/>
  <c r="AD52"/>
  <c r="P53"/>
  <c r="Q53" s="1"/>
  <c r="AC53"/>
  <c r="AD53"/>
  <c r="AD140"/>
  <c r="AC140"/>
  <c r="P140"/>
  <c r="Q140" s="1"/>
  <c r="P141"/>
  <c r="V53" l="1"/>
  <c r="V52"/>
  <c r="AD141"/>
  <c r="AD186" l="1"/>
  <c r="P37"/>
  <c r="AD37"/>
  <c r="V38"/>
  <c r="AC50" l="1"/>
  <c r="AD50"/>
  <c r="P50"/>
  <c r="Q50" s="1"/>
  <c r="V50"/>
  <c r="P190"/>
  <c r="Q190" s="1"/>
  <c r="AD190"/>
  <c r="P49" l="1"/>
  <c r="V49"/>
  <c r="AC49"/>
  <c r="AD49"/>
  <c r="P46"/>
  <c r="V46"/>
  <c r="AD46"/>
  <c r="P36" l="1"/>
  <c r="AD36"/>
  <c r="P33"/>
  <c r="AD33"/>
  <c r="U173" l="1"/>
  <c r="P173"/>
  <c r="AC173"/>
  <c r="AD173"/>
  <c r="P109"/>
  <c r="Q109" s="1"/>
  <c r="AD109"/>
  <c r="P187"/>
  <c r="Q187" s="1"/>
  <c r="AD187"/>
  <c r="U138" l="1"/>
  <c r="P189" l="1"/>
  <c r="Q189" s="1"/>
  <c r="AD189"/>
  <c r="P43" l="1"/>
  <c r="Q43" s="1"/>
  <c r="AD43"/>
  <c r="V43" l="1"/>
  <c r="AC40"/>
  <c r="AD40"/>
  <c r="P40"/>
  <c r="AC107" l="1"/>
  <c r="P108"/>
  <c r="AD108"/>
  <c r="P139" l="1"/>
  <c r="Q139" s="1"/>
  <c r="AD139"/>
  <c r="P38" l="1"/>
  <c r="AD38"/>
  <c r="P196" l="1"/>
  <c r="AD196"/>
  <c r="P107"/>
  <c r="AD107"/>
  <c r="U39"/>
  <c r="P34"/>
  <c r="P35"/>
  <c r="P39"/>
  <c r="AD39"/>
  <c r="AD35"/>
  <c r="AD34"/>
  <c r="P188" l="1"/>
  <c r="Q188" s="1"/>
  <c r="AD188"/>
  <c r="P106" l="1"/>
  <c r="AC106"/>
  <c r="AD106"/>
  <c r="P105"/>
  <c r="AD105"/>
  <c r="P172" l="1"/>
  <c r="Q172" s="1"/>
  <c r="AD172"/>
  <c r="P103" l="1"/>
  <c r="Q103" s="1"/>
  <c r="AD103"/>
  <c r="P104"/>
  <c r="Q104" s="1"/>
  <c r="AD104"/>
  <c r="P138" l="1"/>
  <c r="P32" l="1"/>
  <c r="U32"/>
  <c r="AD138" l="1"/>
  <c r="AD30" l="1"/>
  <c r="AD32"/>
  <c r="AC32"/>
  <c r="V30" l="1"/>
  <c r="P30" l="1"/>
  <c r="P26" l="1"/>
  <c r="AD26"/>
  <c r="P27"/>
  <c r="AD27"/>
  <c r="M133" l="1"/>
  <c r="M134"/>
  <c r="M135"/>
  <c r="M136"/>
  <c r="M12" l="1"/>
  <c r="M11"/>
  <c r="M10"/>
  <c r="AD195" l="1"/>
  <c r="P195"/>
  <c r="P186" l="1"/>
  <c r="Q186" s="1"/>
  <c r="P29" l="1"/>
  <c r="AC29"/>
  <c r="AD29"/>
  <c r="P31"/>
  <c r="U31"/>
  <c r="AD31"/>
  <c r="U102" l="1"/>
  <c r="P102"/>
  <c r="Q102" s="1"/>
  <c r="AD102"/>
  <c r="P184" l="1"/>
  <c r="P101"/>
  <c r="Q101" s="1"/>
  <c r="AD101"/>
  <c r="M96"/>
  <c r="AD96" s="1"/>
  <c r="M97"/>
  <c r="P97" s="1"/>
  <c r="Q97" s="1"/>
  <c r="P100"/>
  <c r="Q100" s="1"/>
  <c r="P99"/>
  <c r="Q99" s="1"/>
  <c r="P98"/>
  <c r="Q98" s="1"/>
  <c r="M137"/>
  <c r="P137" s="1"/>
  <c r="M167"/>
  <c r="M168"/>
  <c r="M169"/>
  <c r="M170"/>
  <c r="M171"/>
  <c r="M185"/>
  <c r="P185" s="1"/>
  <c r="Q185" s="1"/>
  <c r="M166"/>
  <c r="AD166" s="1"/>
  <c r="M165"/>
  <c r="AD165" s="1"/>
  <c r="AD136"/>
  <c r="AD99"/>
  <c r="AD98"/>
  <c r="AC171"/>
  <c r="M163"/>
  <c r="P163" s="1"/>
  <c r="Q163" s="1"/>
  <c r="M164"/>
  <c r="U164" s="1"/>
  <c r="V164" s="1"/>
  <c r="AC169"/>
  <c r="AC170"/>
  <c r="AC168"/>
  <c r="AC167"/>
  <c r="U23"/>
  <c r="U24"/>
  <c r="AD100"/>
  <c r="AC10"/>
  <c r="AC11"/>
  <c r="AC12"/>
  <c r="AC13"/>
  <c r="AC14"/>
  <c r="AC15"/>
  <c r="AC16"/>
  <c r="AC17"/>
  <c r="AC18"/>
  <c r="AC19"/>
  <c r="AC24"/>
  <c r="AC25"/>
  <c r="AC28"/>
  <c r="AC100"/>
  <c r="AC131"/>
  <c r="AC132"/>
  <c r="AC134"/>
  <c r="AC135"/>
  <c r="AC136"/>
  <c r="AC163"/>
  <c r="AC164"/>
  <c r="AC185"/>
  <c r="V13"/>
  <c r="P10"/>
  <c r="Q10" s="1"/>
  <c r="AD11"/>
  <c r="P12"/>
  <c r="Q12" s="1"/>
  <c r="P13"/>
  <c r="Q13" s="1"/>
  <c r="P14"/>
  <c r="Q14" s="1"/>
  <c r="P15"/>
  <c r="Q15" s="1"/>
  <c r="P16"/>
  <c r="Q16" s="1"/>
  <c r="P17"/>
  <c r="Q17" s="1"/>
  <c r="P18"/>
  <c r="Q18" s="1"/>
  <c r="P19"/>
  <c r="Q19" s="1"/>
  <c r="P20"/>
  <c r="Q20" s="1"/>
  <c r="P21"/>
  <c r="Q21" s="1"/>
  <c r="P22"/>
  <c r="Q22" s="1"/>
  <c r="P23"/>
  <c r="Q23" s="1"/>
  <c r="P24"/>
  <c r="Q24" s="1"/>
  <c r="P28"/>
  <c r="P95"/>
  <c r="Q95" s="1"/>
  <c r="P131"/>
  <c r="Q131" s="1"/>
  <c r="P132"/>
  <c r="Q132" s="1"/>
  <c r="AD133"/>
  <c r="M184"/>
  <c r="AD184" s="1"/>
  <c r="V10"/>
  <c r="V11"/>
  <c r="V12"/>
  <c r="V14"/>
  <c r="V15"/>
  <c r="V16"/>
  <c r="U17"/>
  <c r="V17" s="1"/>
  <c r="U18"/>
  <c r="V18" s="1"/>
  <c r="V19"/>
  <c r="V20"/>
  <c r="V95"/>
  <c r="V131"/>
  <c r="V132"/>
  <c r="P25"/>
  <c r="AD20"/>
  <c r="U22"/>
  <c r="AD24"/>
  <c r="AD22"/>
  <c r="AD132"/>
  <c r="AD131"/>
  <c r="AD95"/>
  <c r="AD28"/>
  <c r="AD25"/>
  <c r="AD23"/>
  <c r="AD21"/>
  <c r="AD19"/>
  <c r="AD18"/>
  <c r="AD17"/>
  <c r="AD16"/>
  <c r="AD15"/>
  <c r="AD14"/>
  <c r="AD13"/>
  <c r="AD169" l="1"/>
  <c r="P96"/>
  <c r="AD164"/>
  <c r="P11"/>
  <c r="Q11" s="1"/>
  <c r="P168"/>
  <c r="P136"/>
  <c r="AD12"/>
  <c r="P169"/>
  <c r="AD97"/>
  <c r="AD137"/>
  <c r="AD167"/>
  <c r="P171"/>
  <c r="P166"/>
  <c r="AD171"/>
  <c r="AD134"/>
  <c r="N163"/>
  <c r="P167"/>
  <c r="AD10"/>
  <c r="P134"/>
  <c r="P165"/>
  <c r="P170"/>
  <c r="AD168"/>
  <c r="P164"/>
  <c r="Q164" s="1"/>
  <c r="AD170"/>
  <c r="AD135"/>
  <c r="AD163"/>
  <c r="P135"/>
  <c r="P133"/>
  <c r="U163"/>
  <c r="V163" s="1"/>
  <c r="AD185"/>
</calcChain>
</file>

<file path=xl/comments1.xml><?xml version="1.0" encoding="utf-8"?>
<comments xmlns="http://schemas.openxmlformats.org/spreadsheetml/2006/main">
  <authors>
    <author>Tugov Sergey</author>
  </authors>
  <commentList>
    <comment ref="AE94" authorId="0">
      <text>
        <r>
          <rPr>
            <b/>
            <sz val="9"/>
            <color indexed="81"/>
            <rFont val="Tahoma"/>
            <family val="2"/>
            <charset val="204"/>
          </rPr>
          <t>Tugov Sergey:</t>
        </r>
        <r>
          <rPr>
            <sz val="9"/>
            <color indexed="81"/>
            <rFont val="Tahoma"/>
            <family val="2"/>
            <charset val="204"/>
          </rPr>
          <t xml:space="preserve">
24.08</t>
        </r>
      </text>
    </comment>
    <comment ref="U133" authorId="0">
      <text>
        <r>
          <rPr>
            <b/>
            <sz val="9"/>
            <color indexed="81"/>
            <rFont val="Tahoma"/>
            <family val="2"/>
            <charset val="204"/>
          </rPr>
          <t>Tugov Sergey:</t>
        </r>
        <r>
          <rPr>
            <sz val="9"/>
            <color indexed="81"/>
            <rFont val="Tahoma"/>
            <family val="2"/>
            <charset val="204"/>
          </rPr>
          <t xml:space="preserve">
конец декабря</t>
        </r>
      </text>
    </comment>
    <comment ref="W133" authorId="0">
      <text>
        <r>
          <rPr>
            <b/>
            <sz val="9"/>
            <color indexed="81"/>
            <rFont val="Tahoma"/>
            <family val="2"/>
            <charset val="204"/>
          </rPr>
          <t>Tugov Sergey:</t>
        </r>
        <r>
          <rPr>
            <sz val="9"/>
            <color indexed="81"/>
            <rFont val="Tahoma"/>
            <family val="2"/>
            <charset val="204"/>
          </rPr>
          <t xml:space="preserve">
конец декабря</t>
        </r>
      </text>
    </comment>
  </commentList>
</comments>
</file>

<file path=xl/comments2.xml><?xml version="1.0" encoding="utf-8"?>
<comments xmlns="http://schemas.openxmlformats.org/spreadsheetml/2006/main">
  <authors>
    <author>Maria</author>
    <author>Tugov Sergey</author>
  </authors>
  <commentList>
    <comment ref="M12" authorId="0">
      <text>
        <r>
          <rPr>
            <sz val="9"/>
            <color indexed="81"/>
            <rFont val="Tahoma"/>
            <family val="2"/>
          </rPr>
          <t xml:space="preserve">
90 дней после депозита, 70 дней после  дизайна</t>
        </r>
      </text>
    </comment>
    <comment ref="M13" authorId="0">
      <text>
        <r>
          <rPr>
            <sz val="9"/>
            <color indexed="81"/>
            <rFont val="Tahoma"/>
            <family val="2"/>
          </rPr>
          <t xml:space="preserve">
90 дней после депозита, 70 дней после  дизайна</t>
        </r>
      </text>
    </comment>
    <comment ref="M14" authorId="0">
      <text>
        <r>
          <rPr>
            <sz val="9"/>
            <color indexed="81"/>
            <rFont val="Tahoma"/>
            <family val="2"/>
          </rPr>
          <t xml:space="preserve">
90 дней после депозита, 70 дней после  дизайна</t>
        </r>
      </text>
    </comment>
    <comment ref="M15" authorId="0">
      <text>
        <r>
          <rPr>
            <sz val="9"/>
            <color indexed="81"/>
            <rFont val="Tahoma"/>
            <family val="2"/>
          </rPr>
          <t xml:space="preserve">
90 дней после депозита, 70 дней после  дизайна</t>
        </r>
      </text>
    </comment>
    <comment ref="M16" authorId="0">
      <text>
        <r>
          <rPr>
            <sz val="9"/>
            <color indexed="81"/>
            <rFont val="Tahoma"/>
            <family val="2"/>
          </rPr>
          <t xml:space="preserve">
90 дней после депозита, 70 дней после  дизайна</t>
        </r>
      </text>
    </comment>
    <comment ref="M17" authorId="0">
      <text>
        <r>
          <rPr>
            <sz val="9"/>
            <color indexed="81"/>
            <rFont val="Tahoma"/>
            <family val="2"/>
          </rPr>
          <t xml:space="preserve">
90 дней после депозита, 70 дней после  дизайна</t>
        </r>
      </text>
    </comment>
    <comment ref="P22" authorId="1">
      <text>
        <r>
          <rPr>
            <b/>
            <sz val="9"/>
            <color indexed="81"/>
            <rFont val="Tahoma"/>
            <family val="2"/>
            <charset val="204"/>
          </rPr>
          <t>Tugov Sergey:</t>
        </r>
        <r>
          <rPr>
            <sz val="9"/>
            <color indexed="81"/>
            <rFont val="Tahoma"/>
            <family val="2"/>
            <charset val="204"/>
          </rPr>
          <t xml:space="preserve">
50
</t>
        </r>
      </text>
    </comment>
    <comment ref="Q32" authorId="1">
      <text>
        <r>
          <rPr>
            <b/>
            <sz val="9"/>
            <color indexed="81"/>
            <rFont val="Tahoma"/>
            <family val="2"/>
            <charset val="204"/>
          </rPr>
          <t>Tugov Sergei
100% CAD</t>
        </r>
      </text>
    </comment>
  </commentList>
</comments>
</file>

<file path=xl/sharedStrings.xml><?xml version="1.0" encoding="utf-8"?>
<sst xmlns="http://schemas.openxmlformats.org/spreadsheetml/2006/main" count="4663" uniqueCount="912">
  <si>
    <t>РТН</t>
  </si>
  <si>
    <t>Поставщик</t>
  </si>
  <si>
    <t>Заказ</t>
  </si>
  <si>
    <t>Контрагент</t>
  </si>
  <si>
    <t>АР</t>
  </si>
  <si>
    <t>Тесты образцов</t>
  </si>
  <si>
    <t>Спецификация</t>
  </si>
  <si>
    <t>Проформа от поставщика</t>
  </si>
  <si>
    <t>Депозит (или подписание со стороны покупателя, если нет депозита)</t>
  </si>
  <si>
    <t>Изначальный срок поставки</t>
  </si>
  <si>
    <t>Загрузка</t>
  </si>
  <si>
    <t>Есть (повторный заказ)</t>
  </si>
  <si>
    <t>Полная информация об упаковке (по факту)</t>
  </si>
  <si>
    <t>Проверка КП (день отправки отчета)</t>
  </si>
  <si>
    <t>Подтверждение результата от РТН</t>
  </si>
  <si>
    <t>Поливахин</t>
  </si>
  <si>
    <t>Hunlee</t>
  </si>
  <si>
    <t>Qiaohua</t>
  </si>
  <si>
    <t>+</t>
  </si>
  <si>
    <t>Xianxing</t>
  </si>
  <si>
    <t>KEBO</t>
  </si>
  <si>
    <t>JINLI</t>
  </si>
  <si>
    <t>YAWEI</t>
  </si>
  <si>
    <t>BOYANG</t>
  </si>
  <si>
    <t>YUXING</t>
  </si>
  <si>
    <t xml:space="preserve">Есть </t>
  </si>
  <si>
    <t>5</t>
  </si>
  <si>
    <t>6</t>
  </si>
  <si>
    <t>02.08.2017</t>
  </si>
  <si>
    <t>1</t>
  </si>
  <si>
    <t>2</t>
  </si>
  <si>
    <t>LUCKARM</t>
  </si>
  <si>
    <t>26.07.2017</t>
  </si>
  <si>
    <t>10.08.2017</t>
  </si>
  <si>
    <t>17</t>
  </si>
  <si>
    <t>18</t>
  </si>
  <si>
    <t>МЕД</t>
  </si>
  <si>
    <t>10.10.2017</t>
  </si>
  <si>
    <t>20.09.2017</t>
  </si>
  <si>
    <t>03-08-17</t>
  </si>
  <si>
    <t>02-08-2017</t>
  </si>
  <si>
    <t>21-08-2017</t>
  </si>
  <si>
    <t xml:space="preserve">Ожидаемая Готовность </t>
  </si>
  <si>
    <t>Готовность по факту</t>
  </si>
  <si>
    <t>Полная информация об упаковке (дедлайн) за N дней до готовности</t>
  </si>
  <si>
    <t>Сегодня</t>
  </si>
  <si>
    <t>MED</t>
  </si>
  <si>
    <t xml:space="preserve">Серёг, ещё не все материалы им предоставлены. 
Естественно, чем быстрее получится выпустить товары с завода, тем лучше.
Поливахин 22.08
</t>
  </si>
  <si>
    <t>Предупреждают, что будет задержка, если в скором времени не предоставят упаковку. 24.08.2017</t>
  </si>
  <si>
    <t>If we cannot send the packing order to supplier this week, readiness date of Order 17/18 will be around Oct 15-20.</t>
  </si>
  <si>
    <t>25.08.2017</t>
  </si>
  <si>
    <t>Вместе отправляем без проверки</t>
  </si>
  <si>
    <t>Максим знает, срок устраивает.
Ждем 7 кубов с 52го заказа 12.09.2017 и вместе отправляем</t>
  </si>
  <si>
    <t>Серьезные задержки из-за дизайнеров
Сейчас ситуация наладилась</t>
  </si>
  <si>
    <t>19|1</t>
  </si>
  <si>
    <t>19|2</t>
  </si>
  <si>
    <t>133/1</t>
  </si>
  <si>
    <t>133/2</t>
  </si>
  <si>
    <t>133/3</t>
  </si>
  <si>
    <t>Торопят дизайнеров. 6.09. Все еще не готовы мануалы</t>
  </si>
  <si>
    <t>Микс с ХХ 132 загрузка на ХХ. Отправлено 24.08</t>
  </si>
  <si>
    <t>Объем, куб</t>
  </si>
  <si>
    <t>134/1</t>
  </si>
  <si>
    <t>134/2</t>
  </si>
  <si>
    <t>25.09 до сих пор не утверждены цвета розетки</t>
  </si>
  <si>
    <t>28.09.2017</t>
  </si>
  <si>
    <t>Задержка</t>
  </si>
  <si>
    <t>Комментарии, причины задержки</t>
  </si>
  <si>
    <t>С нашей стороны не было ни подписанных проформ (размещал Голубцов), ни депозита (нулевой). Завод также ничего не делал</t>
  </si>
  <si>
    <t>По причине завода.  Завод:  Вы давно не размещали заказы, поэтому мы решили, что вам пока не очень нужно, а мощности и так забиты. Update. Задержали до 28го сентября</t>
  </si>
  <si>
    <t>Поставщик батареек подставил (Чжунин)</t>
  </si>
  <si>
    <t>Задерживается из-за того что заставили переделывать прошлый заказ.</t>
  </si>
  <si>
    <t>запрошены</t>
  </si>
  <si>
    <t>135-1</t>
  </si>
  <si>
    <t>135-2</t>
  </si>
  <si>
    <t>135-3</t>
  </si>
  <si>
    <t>20.10.2017 запрошены</t>
  </si>
  <si>
    <t>Владимир отправил отчет не тому РТНу, ждали подтверждения, неделя</t>
  </si>
  <si>
    <t>s04</t>
  </si>
  <si>
    <t>16.10.2017</t>
  </si>
  <si>
    <t>136/2</t>
  </si>
  <si>
    <t>136/1</t>
  </si>
  <si>
    <t>Максим оповещен, размещает новый заказ. Переделывали до 20 октября, все заказы сбились</t>
  </si>
  <si>
    <t>Фомин</t>
  </si>
  <si>
    <t>Changan</t>
  </si>
  <si>
    <t>Задержка традиционная из-за праздников, кантона и скорости сбора микса. На стороне Стефанюк начинаются задержки</t>
  </si>
  <si>
    <t>Инструкции долго выдавали, брокер затянул</t>
  </si>
  <si>
    <t>3</t>
  </si>
  <si>
    <t>4</t>
  </si>
  <si>
    <t>19</t>
  </si>
  <si>
    <t>20</t>
  </si>
  <si>
    <t>S06</t>
  </si>
  <si>
    <t>14.10.2017</t>
  </si>
  <si>
    <t>28.10.2017</t>
  </si>
  <si>
    <t>2.11.2017</t>
  </si>
  <si>
    <t>25.10.2017</t>
  </si>
  <si>
    <t xml:space="preserve">С нашей стороны не было ни подписанных проформ, ни депозита (нулевой). </t>
  </si>
  <si>
    <t>Сайног</t>
  </si>
  <si>
    <t>7-11-2017 один на переработку</t>
  </si>
  <si>
    <t>2 недели до сегодня</t>
  </si>
  <si>
    <t>Запрос инструкции</t>
  </si>
  <si>
    <t>2 недели после</t>
  </si>
  <si>
    <t>8.11.2017</t>
  </si>
  <si>
    <t>У завода сломалась пресс-форма, SP-4-B задерживается на наделю или больше 09.11.2017</t>
  </si>
  <si>
    <t>9.11.2017</t>
  </si>
  <si>
    <t>С остатками 15го, переклеенные стикеры, 130 usd размазаны по 17-му</t>
  </si>
  <si>
    <t>Не подтвержден, переделываем 13-11-17 перепроверка</t>
  </si>
  <si>
    <t>28.09.2017/13-11-17</t>
  </si>
  <si>
    <t>не понятно с чем миксовать, спросил 8-11-2017 сайнога. 14-11-17 Луис пытается миксовать</t>
  </si>
  <si>
    <t>1 артикул не успели сделать до проверки, СП-4</t>
  </si>
  <si>
    <t>Инструкция выдана</t>
  </si>
  <si>
    <t>ок</t>
  </si>
  <si>
    <t>OK, clear now and waiting for your updated artwork for D157 and then go for the production.</t>
  </si>
  <si>
    <t>После инспекции 18го заказа послали 2 артикула на переделку. При повторной инспекции 13 ноября выяснилось, что завод ничего не переделал. Однако, под предлогом переделки сроки производства были смещены на месяц и более.</t>
  </si>
  <si>
    <t>Задержка из-за смены РТНа и проблемы качества в MD_01, медлительности и неорганизованность в принятии решений по миксам</t>
  </si>
  <si>
    <t>sales2@youthsocket.com</t>
  </si>
  <si>
    <t>kiki.chen@quhwa.com</t>
  </si>
  <si>
    <t>daisy@xxexx.cn</t>
  </si>
  <si>
    <t>candy-kaifeng@126.com</t>
  </si>
  <si>
    <t>sales8@luckarm.com</t>
  </si>
  <si>
    <t>sales02@changangroup.com.cn</t>
  </si>
  <si>
    <t>sales4@kebopower.com</t>
  </si>
  <si>
    <t>sales@yaweitai.com</t>
  </si>
  <si>
    <t>export@jinli.com</t>
  </si>
  <si>
    <t>sales42@yourlite.com</t>
  </si>
  <si>
    <t>Условия по оплате и срокам пр-ва</t>
  </si>
  <si>
    <t>100% 45 дней после отгрузки, точная дата производства в проформе</t>
  </si>
  <si>
    <t>30/70, 90 дней после депозита</t>
  </si>
  <si>
    <t>100% 90 дней после отгрузки, точная дата производства в проформе</t>
  </si>
  <si>
    <t>100% 60 дней после отгрузки, точная дата производства в проформе</t>
  </si>
  <si>
    <t>10/90 точная дата в проформе</t>
  </si>
  <si>
    <t>100% 90 дней после отгрузки, 55 дней после подтверждения, 35 дней после упаковки</t>
  </si>
  <si>
    <t>100% 90 дней после отгрузки, 90 после подписания</t>
  </si>
  <si>
    <t>30/70, 65 дней после депозита</t>
  </si>
  <si>
    <t>16.11.2017 (повторный)</t>
  </si>
  <si>
    <t>7</t>
  </si>
  <si>
    <t>1 артикул не отправлен, не критичный</t>
  </si>
  <si>
    <t>Имя менеджера</t>
  </si>
  <si>
    <t>Amy</t>
  </si>
  <si>
    <t>Kiki</t>
  </si>
  <si>
    <t>Daisy</t>
  </si>
  <si>
    <t>Candy</t>
  </si>
  <si>
    <t>20/80 точная дата в проформе</t>
  </si>
  <si>
    <t>Mike</t>
  </si>
  <si>
    <t>Louis</t>
  </si>
  <si>
    <t>Stella</t>
  </si>
  <si>
    <t>Jessy</t>
  </si>
  <si>
    <t>Angel</t>
  </si>
  <si>
    <t>Ailsa</t>
  </si>
  <si>
    <t>Почта</t>
  </si>
  <si>
    <t>137+ S05-1</t>
  </si>
  <si>
    <t>137+ S05-2</t>
  </si>
  <si>
    <t>137+ S05-3</t>
  </si>
  <si>
    <t>137+ S05-4</t>
  </si>
  <si>
    <t>Постоплата?</t>
  </si>
  <si>
    <t>18-1</t>
  </si>
  <si>
    <t>18 - 2</t>
  </si>
  <si>
    <t>Постоплата</t>
  </si>
  <si>
    <t>Срок производства после упаковки</t>
  </si>
  <si>
    <t xml:space="preserve"> 27.10.2017</t>
  </si>
  <si>
    <t>14</t>
  </si>
  <si>
    <t>Письмо про дедлайн</t>
  </si>
  <si>
    <t>78.6</t>
  </si>
  <si>
    <t>Отправлено</t>
  </si>
  <si>
    <t>Отпавить Shipping request</t>
  </si>
  <si>
    <t>Отгрузочные доки и БЛ</t>
  </si>
  <si>
    <t>Меняли транспортника</t>
  </si>
  <si>
    <t>Приложения</t>
  </si>
  <si>
    <t>Задержка инструкции от логистов на 25 дней</t>
  </si>
  <si>
    <t>Отправлено 29.11.2017</t>
  </si>
  <si>
    <t>Отправлено 24-11-17</t>
  </si>
  <si>
    <t>Задержка на стороне логистов</t>
  </si>
  <si>
    <t>Задержка на стороне логистов, больничный у Полины</t>
  </si>
  <si>
    <t>21</t>
  </si>
  <si>
    <t>22</t>
  </si>
  <si>
    <t>23</t>
  </si>
  <si>
    <t>Не проверяем</t>
  </si>
  <si>
    <t>Без проверки</t>
  </si>
  <si>
    <t>24</t>
  </si>
  <si>
    <t>10-25-17</t>
  </si>
  <si>
    <t>Отправляем вместе с 12, отгрузили 10 коробок 14го заказа</t>
  </si>
  <si>
    <t>Отправлено 30.11.2017</t>
  </si>
  <si>
    <t>25</t>
  </si>
  <si>
    <t>Отправлено 04.12.2017</t>
  </si>
  <si>
    <t>AJCEE</t>
  </si>
  <si>
    <t>Charles</t>
  </si>
  <si>
    <t>aojicn@aojicn.com</t>
  </si>
  <si>
    <t>Дейзи отправила без подтверждения РТНа, иначе в этом месяце уже не получилось бы отправить. Выговор сделан.</t>
  </si>
  <si>
    <t xml:space="preserve">Отправляем без проверки, так как заказ готов раньше ожидаемого срока, проверку перенести нет возможности. </t>
  </si>
  <si>
    <t>Отправлено 05.12.2017</t>
  </si>
  <si>
    <t xml:space="preserve">Перепроверка 16.10.2017 </t>
  </si>
  <si>
    <t>20/80, 40 дней после депозита</t>
  </si>
  <si>
    <t xml:space="preserve"> 5-12-2017</t>
  </si>
  <si>
    <t>Евгений не ответил Даше на письмо с вопросом как отргужать, в результате инструкции до сих пор нет 06-12-17</t>
  </si>
  <si>
    <t>Отправлено 11.12.2017</t>
  </si>
  <si>
    <t>Микс с лампочками Голубцова. Горят корпуса, не отгружаем, тестим!</t>
  </si>
  <si>
    <t>Не актуально</t>
  </si>
  <si>
    <t>Отправлено 12.12.2017</t>
  </si>
  <si>
    <t>Отправлено 13.12.2017</t>
  </si>
  <si>
    <t>Забыли оплатить депозит при передаче проекта</t>
  </si>
  <si>
    <t>Отправлено 15.12.2017</t>
  </si>
  <si>
    <t>Отправлено 19.12.2017</t>
  </si>
  <si>
    <t>Отправлено 25.12.2017</t>
  </si>
  <si>
    <t>Уже не актуально</t>
  </si>
  <si>
    <t>Отправлено 28.12.2017</t>
  </si>
  <si>
    <t>Есть</t>
  </si>
  <si>
    <t>Отправлено 25.12.2019</t>
  </si>
  <si>
    <t>Отправлено 29.12.2017</t>
  </si>
  <si>
    <t>,</t>
  </si>
  <si>
    <t>Отправлено 04.01.2018</t>
  </si>
  <si>
    <t>Ждем брокера 4,01,18</t>
  </si>
  <si>
    <t>Отправлено 10.01.2018</t>
  </si>
  <si>
    <t>21|1</t>
  </si>
  <si>
    <t>21|2</t>
  </si>
  <si>
    <t>Отправлено 19.12.2018</t>
  </si>
  <si>
    <t>Отправлено 15.01.2018</t>
  </si>
  <si>
    <t>Микс с корнишовым, пресс-формы</t>
  </si>
  <si>
    <t>январь</t>
  </si>
  <si>
    <t>100% 50 дней после отгрузки, точная дата производства в проформе</t>
  </si>
  <si>
    <t>Отправлено 22.01.2018</t>
  </si>
  <si>
    <t>Отправлено 24.01.2018</t>
  </si>
  <si>
    <t>Первый заказ. Упаковка, депозит, инспекция, проблемы были везде</t>
  </si>
  <si>
    <t>Отправлено 26.01.2018</t>
  </si>
  <si>
    <t>По причине завода, нехватка рабочих на сборочных линиях</t>
  </si>
  <si>
    <t xml:space="preserve">这样导致我们产能下降 所有的订单全部延迟！ 要到3月10日以后才会基本恢复正常   每家工厂都是这样的，若工厂在年底能正常交货的话，说明工厂效益不好！ </t>
  </si>
  <si>
    <t>实在很抱歉，请谅解。 你们的订单老板很重视的，原本都要被排到3月份出货了，我推掉了其他客户的订单 也要确保你们的出货才能挤到 过年前发出</t>
  </si>
  <si>
    <t xml:space="preserve">这个是真实的情况，或者 VOVA 来慈溪这边 到我们工厂来看一下就知道了，装配线真的已经没几个工人了。 </t>
  </si>
  <si>
    <t>Рано</t>
  </si>
  <si>
    <t>Ок</t>
  </si>
  <si>
    <t>Агент не давал контейнер</t>
  </si>
  <si>
    <t>Отправлено 06.02.2018</t>
  </si>
  <si>
    <t>Авиапоставка</t>
  </si>
  <si>
    <t>16-2-18 корабль</t>
  </si>
  <si>
    <t>Wangke</t>
  </si>
  <si>
    <t>Переподписывали проформы на новый срок поставки, актуальный</t>
  </si>
  <si>
    <t>СО6 был внезапно выполнен раньше срока, и отправлен с СО5, путаница из-за заказов на 3 контейнера продолжается</t>
  </si>
  <si>
    <t>Неразбериха с точный временем отправки заказа из-за беспорядочной отправки артикулов разных заказов поставщиком</t>
  </si>
  <si>
    <t>Задержка из-за смены агента, новый агент не дает контейнер</t>
  </si>
  <si>
    <t>Отправлено 07.02.2018</t>
  </si>
  <si>
    <t>Завод не хочет давать адекватные сроки поставки.</t>
  </si>
  <si>
    <t>Отправлено 27.02.2018</t>
  </si>
  <si>
    <t>Срок готовности сдвинулся из-за праздников, завод перерасчитал силу</t>
  </si>
  <si>
    <t>Отправлено 05.03.2018</t>
  </si>
  <si>
    <t>Задержка из-за смены перевозчика по нашей вине</t>
  </si>
  <si>
    <t>139-1</t>
  </si>
  <si>
    <t>139-2</t>
  </si>
  <si>
    <t>Отправлено 12.03.2018</t>
  </si>
  <si>
    <t>Отправлено 14.03.2018</t>
  </si>
  <si>
    <t>Поливахин просил задержать отгрузку на 2-3 недели, оверсток</t>
  </si>
  <si>
    <t>Задержка из-за миксования</t>
  </si>
  <si>
    <t>full</t>
  </si>
  <si>
    <t>Отправлено 23.03.2018</t>
  </si>
  <si>
    <t>Mavis</t>
  </si>
  <si>
    <t>mavis.xie@quhwa.com</t>
  </si>
  <si>
    <t>Просрочка больше месяца</t>
  </si>
  <si>
    <t>Отправлено 28.03.2018</t>
  </si>
  <si>
    <t>8</t>
  </si>
  <si>
    <t>140-1</t>
  </si>
  <si>
    <t>140-2</t>
  </si>
  <si>
    <t>Вместе</t>
  </si>
  <si>
    <t>Отправлено 30.03.2018</t>
  </si>
  <si>
    <t>Новый год</t>
  </si>
  <si>
    <t>Отправлено 02.04.2018</t>
  </si>
  <si>
    <t>ПЕРЕДЕЛЫВАЕМ!</t>
  </si>
  <si>
    <t>Задержка по вине завода. Переделываем артикулы. Макс разжалобился и решил не переделывать, но корабль прозевали, увозим следующим</t>
  </si>
  <si>
    <t>26-1</t>
  </si>
  <si>
    <t>26-2</t>
  </si>
  <si>
    <t>Отправлено 09.04.2018</t>
  </si>
  <si>
    <t>Переделываем 1 артикул. Закончили переделку 10 апреля. Ждем микса</t>
  </si>
  <si>
    <t>Отправлено 25.12.2020</t>
  </si>
  <si>
    <t>Отправлено 13.04.2018</t>
  </si>
  <si>
    <t>Заказ отложен из-за смены стикеров на НПК на неопределенный срок. Разбирательство по браку, задержка отгрузки</t>
  </si>
  <si>
    <t>Отправлено 25.04.2018</t>
  </si>
  <si>
    <t>Задержка по вине завода + задержка из-за переноса инспекции (нехватка инспекторов)</t>
  </si>
  <si>
    <t>Отправлено 28.04.2018</t>
  </si>
  <si>
    <t>27</t>
  </si>
  <si>
    <t>28</t>
  </si>
  <si>
    <t>26</t>
  </si>
  <si>
    <t>Задержка по вине завода. Переделываем чтобы зажержать отгрузку</t>
  </si>
  <si>
    <t>142</t>
  </si>
  <si>
    <t>Отправлено 07.05.2018</t>
  </si>
  <si>
    <t>Переделывали с 23 апреля. Переделано 10 мая.</t>
  </si>
  <si>
    <t>AR</t>
  </si>
  <si>
    <t>El</t>
  </si>
  <si>
    <t>27-1</t>
  </si>
  <si>
    <t>27-2</t>
  </si>
  <si>
    <t>Отправлено 07.05.2019</t>
  </si>
  <si>
    <t>Отправлено 07.05.2020</t>
  </si>
  <si>
    <t>Отправлено 07.05.2021</t>
  </si>
  <si>
    <t>SO7</t>
  </si>
  <si>
    <t>На 10.05.18 не было депозита, производство не начато</t>
  </si>
  <si>
    <t>29</t>
  </si>
  <si>
    <t>Отправлено 28.05.2018</t>
  </si>
  <si>
    <t>30</t>
  </si>
  <si>
    <t>Отправлено 25.04.2019</t>
  </si>
  <si>
    <t>9</t>
  </si>
  <si>
    <t>Отправлено 01.06.2018</t>
  </si>
  <si>
    <t>Долго думали как миксовать, в итоге отправили 20кой</t>
  </si>
  <si>
    <t>Отправлено 13.06.2018</t>
  </si>
  <si>
    <t>31</t>
  </si>
  <si>
    <t>Голубцов</t>
  </si>
  <si>
    <t>Новикова</t>
  </si>
  <si>
    <t>Отправлено без подтверждения</t>
  </si>
  <si>
    <t>Ждали микс Корнишова</t>
  </si>
  <si>
    <t>Отправлено 15.06.2018</t>
  </si>
  <si>
    <t>Отправлено 21.06.2018</t>
  </si>
  <si>
    <t>Отправлено 28.05.2019</t>
  </si>
  <si>
    <t>Отправлено 25.06.2018</t>
  </si>
  <si>
    <t>Ждали с чем смиксовать, был неполный контейнер. Задержка со стороны завода 2 недели. 1 артикул - брак. SF-1w</t>
  </si>
  <si>
    <t>Отправлено 26.06.2018</t>
  </si>
  <si>
    <t>4 куба, не знаем как отгружать, задержка на нашей стороне.</t>
  </si>
  <si>
    <t>Искали с чем миксовать</t>
  </si>
  <si>
    <t>Отправлено 03.07.2018</t>
  </si>
  <si>
    <t>28 апреля только начали производить из-за задержки предыдущего заказа. После подтверждения отгрузки начались проволочки у логистов. Завод не получил вовремя всю необходимую информацию от логистов</t>
  </si>
  <si>
    <t>оплачено</t>
  </si>
  <si>
    <t>polivahin_a@s3.ru</t>
  </si>
  <si>
    <t>novikova_n@s3.ru</t>
  </si>
  <si>
    <t>golubcov_a@s3.ru</t>
  </si>
  <si>
    <t>fomin_m@s3.ru</t>
  </si>
  <si>
    <t>Отправлено 10.07.2018</t>
  </si>
  <si>
    <t>3 жд</t>
  </si>
  <si>
    <t>Отправлено 13.06.2019</t>
  </si>
  <si>
    <t>3 море</t>
  </si>
  <si>
    <t>Отправлено 16.07.2018</t>
  </si>
  <si>
    <t>Агент слишком поздно выдал инфо по контейнеру, Алиса не успела его схватить. Перенос на следующее судно.</t>
  </si>
  <si>
    <t>32</t>
  </si>
  <si>
    <t>33</t>
  </si>
  <si>
    <t>Задержка месяц по нашей вине. Поздно заплатили депозит.</t>
  </si>
  <si>
    <t>Отправлено 17.07.2018</t>
  </si>
  <si>
    <t>Отправлено 20.07.2018</t>
  </si>
  <si>
    <t>143-2</t>
  </si>
  <si>
    <t>143-1</t>
  </si>
  <si>
    <t>141</t>
  </si>
  <si>
    <t>Отправлено 23.07.2018</t>
  </si>
  <si>
    <t>Мы затянули с передачей новых мануалов</t>
  </si>
  <si>
    <t>Отправлено 26.07.2018</t>
  </si>
  <si>
    <t>Кулыгин</t>
  </si>
  <si>
    <t>Naite</t>
  </si>
  <si>
    <t>Vivian</t>
  </si>
  <si>
    <t>30/70, 40 дней после депозита</t>
  </si>
  <si>
    <t>sale01@cnbulb.com</t>
  </si>
  <si>
    <t>kulygina_e@s3.ru</t>
  </si>
  <si>
    <t>отправляем 20ку. Ждали проверки, потом отменили, не влезла. Новый сотрудник поставщика затупил и вовремя не уладил формальности с агентом по получению контейнера.</t>
  </si>
  <si>
    <t>Жуткие проволочки со стороны логистов на отгрузке</t>
  </si>
  <si>
    <t>Задержка артворка</t>
  </si>
  <si>
    <t xml:space="preserve"> </t>
  </si>
  <si>
    <t>Отправлено 30.07.2018</t>
  </si>
  <si>
    <t>SO8</t>
  </si>
  <si>
    <t>Саша подтвердил отгрузку мне на почту (не отписался постащику), у меня был сломан компьютер, письмо увидел 2-8-2018, протеряли корабль.</t>
  </si>
  <si>
    <t>148</t>
  </si>
  <si>
    <t>Отправлено 03.08.2018</t>
  </si>
  <si>
    <t>Отправлено 06.08.2018</t>
  </si>
  <si>
    <t>Отправлено 07.08.2018</t>
  </si>
  <si>
    <t>10</t>
  </si>
  <si>
    <t>Отправлено 08.08.2018</t>
  </si>
  <si>
    <t>Микс с AJCEE 3</t>
  </si>
  <si>
    <t>5 кубов не влезло, микс с Boyang</t>
  </si>
  <si>
    <t>Отправлено 09.08.2018</t>
  </si>
  <si>
    <t>Отправлено 10.08.2018</t>
  </si>
  <si>
    <t>Ввод новой серии розеток, затянули обсуждение, подбор материалов и т.д.</t>
  </si>
  <si>
    <t>Отправлено 16.08.2018</t>
  </si>
  <si>
    <t>Отправлено 15.06.2017</t>
  </si>
  <si>
    <t>144-1</t>
  </si>
  <si>
    <t>144-2</t>
  </si>
  <si>
    <t>Отправлено 17.08.2018</t>
  </si>
  <si>
    <t>РТН не мог  согласовать с логистами как отправлять</t>
  </si>
  <si>
    <t>Отправлено 20.08.2018</t>
  </si>
  <si>
    <t>Завод сорвал инспекцию в связи с переездом, перепроверяли.</t>
  </si>
  <si>
    <t>Отправлено 30.08.2018</t>
  </si>
  <si>
    <t>По результатам инспекции переделывали часть заказ, устраняли ошибки.Отправлено после переделки в удобное нам время.</t>
  </si>
  <si>
    <t>Отправлено 31.08.2018</t>
  </si>
  <si>
    <t>Отправлено 05.09.2018</t>
  </si>
  <si>
    <t>Отправлено 06.09.2018</t>
  </si>
  <si>
    <t>kholmov_s@s3.ru</t>
  </si>
  <si>
    <t>kopytin_a@s3.ru</t>
  </si>
  <si>
    <t>evteev_s@s3.ru</t>
  </si>
  <si>
    <t>ziborov_g@s3.ru</t>
  </si>
  <si>
    <t>pronin_a@s3.ru</t>
  </si>
  <si>
    <t>11</t>
  </si>
  <si>
    <t>C:\Поливахин\Розетки\Yawei\10\PI of 10th order 2018-8-8.pdf</t>
  </si>
  <si>
    <t>C:\Поливахин\Розетки\Yawei\9\PI order 9 2018-6-5 (REV2).pdf</t>
  </si>
  <si>
    <t>C:\Поливахин\Розетки\Yawei\8\PI NO YW20180327-S3-08 (REV).pdf</t>
  </si>
  <si>
    <t>C:\Поливахин\Розетки\JINLI\33\PI-C045-033.pdf</t>
  </si>
  <si>
    <t>C:\Поливахин\Розетки\JINLI\32\PI-C045-032.pdf</t>
  </si>
  <si>
    <t>C:\Поливахин\Розетки\JINLI\31\C045-031-PI.pdf</t>
  </si>
  <si>
    <t>C:\Поливахин\Розетки\JINLI\30\C045-030-PI.pdf</t>
  </si>
  <si>
    <t>C:\Поливахин\Розетки\JINLI\29\PI-C045-029.pdf</t>
  </si>
  <si>
    <t>C:\Поливахин\Розетки\JINLI\28\PI-C045-028.pdf</t>
  </si>
  <si>
    <t>C:\Новикова.Звонки\Yusing\14\Проформа.pdf</t>
  </si>
  <si>
    <t>C:\Голубцов.Удлинители\Boyang\25\S3 180619 BNG_025.pdf</t>
  </si>
  <si>
    <t>C:\Голубцов.Удлинители\xianxing\148\Проформа.pdf</t>
  </si>
  <si>
    <t>C:\Голубцов.Удлинители\xianxing\145\Проформа 145.pdf</t>
  </si>
  <si>
    <t>C:\Голубцов.Удлинители\xianxing\SO7\PI SO7.pdf</t>
  </si>
  <si>
    <t>C:\Голубцов.Удлинители\xianxing\144\XX-144 PI signed.pdf</t>
  </si>
  <si>
    <t>C:\Голубцов.Удлинители\Hunlee Youth El\33\HL-33 PI.jpg</t>
  </si>
  <si>
    <t>C:\Голубцов.Удлинители\Hunlee Youth El\32\SCAN PI.jpg</t>
  </si>
  <si>
    <t>C:\Голубцов.Удлинители\Hunlee Youth El\31\HL-31 PI.xls</t>
  </si>
  <si>
    <t>C:\Голубцов.Удлинители\Hunlee Youth El\29+30\HL 29 and HL 30 signed.pdf</t>
  </si>
  <si>
    <t>C:\Голубцов.Удлинители\Hunlee Youth El\28\SCAN PI of order 28.jpg</t>
  </si>
  <si>
    <t>C:\Голубцов.Удлинители\Hunlee Youth El\27\Hunlee-27.jpg</t>
  </si>
  <si>
    <t>Отправлено 12.09.2018</t>
  </si>
  <si>
    <t>C:\Голубцов.Удлинители\xianxing\146\PI XX-146.xls</t>
  </si>
  <si>
    <t>C:\Голубцов.Удлинители\xianxing\147\PI XX-147.xls</t>
  </si>
  <si>
    <t>C:\Голубцов.Удлинители\xianxing\SO8\XX_Special_8.xls</t>
  </si>
  <si>
    <t>149</t>
  </si>
  <si>
    <t>150</t>
  </si>
  <si>
    <t>SO9</t>
  </si>
  <si>
    <t>C:\Голубцов.Удлинители\xianxing\149\PI149.jpg</t>
  </si>
  <si>
    <t>C:\Голубцов.Удлинители\xianxing\150\PI150.jpg</t>
  </si>
  <si>
    <t>C:\Голубцов.Удлинители\xianxing\SO9\PI SO9.jpg</t>
  </si>
  <si>
    <t>Поезд, 4500 юанек забрать у продавца!</t>
  </si>
  <si>
    <t>Ждем логистов. Поезд, 4500 юанек забрать у продавца!</t>
  </si>
  <si>
    <t>34</t>
  </si>
  <si>
    <t>35</t>
  </si>
  <si>
    <t>36</t>
  </si>
  <si>
    <t>C:\Голубцов.Удлинители\Hunlee Youth El\27\PI27-2.png</t>
  </si>
  <si>
    <t>C:\Поливахин\Розетки\JINLI\35\2018.09.12 Draft of docs ARISTA-PI-C045-035.xls</t>
  </si>
  <si>
    <t>C:\Поливахин\Розетки\JINLI\36\2018.09.14 Draft of docs ARISTA-PI-C045-036.xls</t>
  </si>
  <si>
    <t>C:\Поливахин\Розетки\JINLI\34\2018.08.06 Draft of docs ARISTA-PI-C045-034.xls</t>
  </si>
  <si>
    <t>Отправлено 19.09.2018</t>
  </si>
  <si>
    <t>C:\Поливахин\Розетки\Yawei\11\draft of PI.xlsx</t>
  </si>
  <si>
    <t>Отправлено 28.05.2020</t>
  </si>
  <si>
    <t>145_1</t>
  </si>
  <si>
    <t>145_2</t>
  </si>
  <si>
    <t>C:\Новикова.Звонки\Yusing\13\проформа 240518.pdf</t>
  </si>
  <si>
    <t>Отправлено 21.09.2018</t>
  </si>
  <si>
    <t>146_1</t>
  </si>
  <si>
    <t>146_2</t>
  </si>
  <si>
    <t>146_3</t>
  </si>
  <si>
    <t>Глух</t>
  </si>
  <si>
    <t>NIU Elec</t>
  </si>
  <si>
    <t>Heitu</t>
  </si>
  <si>
    <t>sales@niuelec.com</t>
  </si>
  <si>
    <t>Ru</t>
  </si>
  <si>
    <t>gluh_m@s3.ru</t>
  </si>
  <si>
    <t xml:space="preserve"> На проверку по 20 на артикул. Решали что делать с 15ым заказом неделю</t>
  </si>
  <si>
    <t>Микс Боян Ови. Микс сорвался из-за неоплаты Хунли</t>
  </si>
  <si>
    <t>АХТУНГ! Думали с чем мешать и забыли про него. Микс с Хунли и ОВИ. Микс сорвался из-за неоплаты Хунли</t>
  </si>
  <si>
    <t>Не успели отгрузить до каникул, не хватило погрузчиков</t>
  </si>
  <si>
    <t>37</t>
  </si>
  <si>
    <t>Отправлено 08.10.2018</t>
  </si>
  <si>
    <t>C:\Поливахин\Розетки\JINLI\37\2018.10.08 Draft of docs ARISTA-PI-C045-037.xls</t>
  </si>
  <si>
    <t>Переделывали, перепроверяли</t>
  </si>
  <si>
    <t>Keyi</t>
  </si>
  <si>
    <t>Отправлено 10.10.2018</t>
  </si>
  <si>
    <t>12</t>
  </si>
  <si>
    <t>Отправлено 08.10.2019</t>
  </si>
  <si>
    <t>15/85, 90 дней после депозита</t>
  </si>
  <si>
    <t>30_2</t>
  </si>
  <si>
    <t>30_1</t>
  </si>
  <si>
    <t>Отправлено 25.10.2018</t>
  </si>
  <si>
    <t>C:\Поливахин\Розетки\Yawei\12\draft of PI order 12 (Updated).xlsx</t>
  </si>
  <si>
    <t>Отправлено 29.10.2018</t>
  </si>
  <si>
    <t>38</t>
  </si>
  <si>
    <t>Отправлено 30.07.2019</t>
  </si>
  <si>
    <t>Отправлено 30.07.2020</t>
  </si>
  <si>
    <t>147/1</t>
  </si>
  <si>
    <t>147/2</t>
  </si>
  <si>
    <t>147/3</t>
  </si>
  <si>
    <t>C:\Голубцов.Удлинители\Hunlee Youth El\35\HL-35 PI.xls</t>
  </si>
  <si>
    <t>C:\Голубцов.Удлинители\Hunlee Youth El\36\HL-36 PI.xls</t>
  </si>
  <si>
    <t>C:\Новикова.Звонки\Qiaohua\58\QIAOHUA PI_218QSZ1070 .pdf</t>
  </si>
  <si>
    <t>Отправлено 01.11.2018</t>
  </si>
  <si>
    <t>Carol</t>
  </si>
  <si>
    <t>21,6</t>
  </si>
  <si>
    <t>conwell.sales5@conwell.cc</t>
  </si>
  <si>
    <t>Из-за провала инспекции 5-го заказа, производство было приостановлено. Считали НПК долго.</t>
  </si>
  <si>
    <t>Ар</t>
  </si>
  <si>
    <t>146_4</t>
  </si>
  <si>
    <t>Отправлено 06.11.2018</t>
  </si>
  <si>
    <t>Отправлено 07.11.2018</t>
  </si>
  <si>
    <t>Отправлено 09.11.2018</t>
  </si>
  <si>
    <t>Отправлено 13.11.2018</t>
  </si>
  <si>
    <t>Разбирали ситуацию с жалобой от клиента по поводу MD04, задержка на стороне ЦО + не знаем как отправить</t>
  </si>
  <si>
    <t>Отправлено 19.11.2018</t>
  </si>
  <si>
    <t>Ждем микса</t>
  </si>
  <si>
    <t>Отправлено 22.11.2018</t>
  </si>
  <si>
    <t>Отправлено 23.11.2018</t>
  </si>
  <si>
    <t>Отправлено 03.12.2018</t>
  </si>
  <si>
    <t>langli</t>
  </si>
  <si>
    <t>Ann</t>
  </si>
  <si>
    <t>30/70 перед отгрузкой</t>
  </si>
  <si>
    <t>OR</t>
  </si>
  <si>
    <t>RU</t>
  </si>
  <si>
    <t>13</t>
  </si>
  <si>
    <t>C:\Поливахин\Розетки\Yawei\13\draft of PI order 13 production date will be 12.2018 REV.xlsx</t>
  </si>
  <si>
    <t>Отправлено 06.12.2018</t>
  </si>
  <si>
    <t>Отправлено 07.12.2018</t>
  </si>
  <si>
    <t>C:\Голубцов.Удлинители\Hunlee Youth El\37\SCAN PI for order 37 2018-11-16.jpg</t>
  </si>
  <si>
    <t>151</t>
  </si>
  <si>
    <t>C:\Голубцов.Удлинители\xianxing\151\WeChat Image_20181113133025.jpg</t>
  </si>
  <si>
    <t>Отправлено 17.12.2018</t>
  </si>
  <si>
    <t>Долго оплачивали депозит</t>
  </si>
  <si>
    <t>Отправлено 20.12.2018</t>
  </si>
  <si>
    <t>Отправлено 02.01.2019</t>
  </si>
  <si>
    <t>152</t>
  </si>
  <si>
    <t>C:\Голубцов.Удлинители\xianxing\152\PI152.pdf</t>
  </si>
  <si>
    <t>Отправлено 03.01.2019</t>
  </si>
  <si>
    <t>Отправлено 07.01.2019</t>
  </si>
  <si>
    <t>Отправлено 11.01.2019</t>
  </si>
  <si>
    <t>ждали микса</t>
  </si>
  <si>
    <t>100% 120 дней после отгрузки, 55 дней после подтверждения, 35 дней после упаковки</t>
  </si>
  <si>
    <t>C:\Новикова.Звонки\Yusing\15\YS-15-P19H001.pdf</t>
  </si>
  <si>
    <t>59</t>
  </si>
  <si>
    <t>C:\Новикова.Звонки\Qiaohua\59\QIAOHUA PI_219QHSZ0170.pdf</t>
  </si>
  <si>
    <t>ждем</t>
  </si>
  <si>
    <t>Фото отгрузки?</t>
  </si>
  <si>
    <t>Отправлено 21.01.2019</t>
  </si>
  <si>
    <t>ЕСТЬ</t>
  </si>
  <si>
    <t>Eurosin</t>
  </si>
  <si>
    <t>Tom</t>
  </si>
  <si>
    <t>30/70, 25 дней после депозита</t>
  </si>
  <si>
    <t>Helen</t>
  </si>
  <si>
    <t>Задержка из-за задержки дизайнов упаковки и КНГ</t>
  </si>
  <si>
    <t>Задержка из-за задержки дизайнов и депозита</t>
  </si>
  <si>
    <t>Заведена карточка поставщика</t>
  </si>
  <si>
    <t>Составлен контракт</t>
  </si>
  <si>
    <t>Разъяснено про CCPIT и требуемые доки</t>
  </si>
  <si>
    <t>Разъяснено про номер заказа на мастере</t>
  </si>
  <si>
    <t>Разъяснено, что нельзя отгружать без подтверждения РТН</t>
  </si>
  <si>
    <t>Разъяснено про шипинг реквест за 2 недели до отгрузки</t>
  </si>
  <si>
    <t>Инструмент</t>
  </si>
  <si>
    <t>Сайт С3</t>
  </si>
  <si>
    <t>Файл контракта</t>
  </si>
  <si>
    <t>Письмо#1</t>
  </si>
  <si>
    <t>Отметка о выполнении</t>
  </si>
  <si>
    <t>Разъяснено про правила загрузки контейнера и фотоотчет</t>
  </si>
  <si>
    <t>39</t>
  </si>
  <si>
    <t>40</t>
  </si>
  <si>
    <t>C:\Голубцов.Удлинители\Hunlee Youth El\38\HL-38 PI.pdf</t>
  </si>
  <si>
    <t>C:\Голубцов.Удлинители\Hunlee Youth El\39\HL-39 PI.pdf</t>
  </si>
  <si>
    <t>C:\Голубцов.Удлинители\Hunlee Youth El\40\HL-40 PI.pdf</t>
  </si>
  <si>
    <t>Отправлено 18.02.2019</t>
  </si>
  <si>
    <t>C:\Поливахин\Розетки\JINLI\38\2018.10.30 Draft of docs RUMETA-PI-C045-038(RE).xls</t>
  </si>
  <si>
    <t>60</t>
  </si>
  <si>
    <t>15-16</t>
  </si>
  <si>
    <t>Письмо#2</t>
  </si>
  <si>
    <t>Запрос проверочных документов у поставщика</t>
  </si>
  <si>
    <t>Разъяснены требования склада к весу, объему и положению баркода</t>
  </si>
  <si>
    <t>Руки</t>
  </si>
  <si>
    <t>Глаза</t>
  </si>
  <si>
    <t>Почта поставщика:</t>
  </si>
  <si>
    <t>151-2</t>
  </si>
  <si>
    <t>Письмо №1</t>
  </si>
  <si>
    <t>Подписан контракт и выложен на сервер</t>
  </si>
  <si>
    <t>Письмо №2</t>
  </si>
  <si>
    <t>Разъяснено правило один контейнер = один пакет документов</t>
  </si>
  <si>
    <t>Отправлено 22.02.2019</t>
  </si>
  <si>
    <t>El -- Ru</t>
  </si>
  <si>
    <t>Zhengcheng</t>
  </si>
  <si>
    <t>Отправлено 26.02.2019</t>
  </si>
  <si>
    <t>13549788506@163.com</t>
  </si>
  <si>
    <t>153</t>
  </si>
  <si>
    <t>154</t>
  </si>
  <si>
    <t>155</t>
  </si>
  <si>
    <t>SO10</t>
  </si>
  <si>
    <t>..\Голубцов.Удлинители\xianxing\154\2 книга кабеля.jpg</t>
  </si>
  <si>
    <t>..\Голубцов.Удлинители\xianxing\155\PI155.jpg</t>
  </si>
  <si>
    <t>..\Голубцов.Удлинители\xianxing\SO10\PI SP 10.jpg</t>
  </si>
  <si>
    <t>Отправлено 28.02.2019</t>
  </si>
  <si>
    <t>Отправлено 04.03.2019</t>
  </si>
  <si>
    <t>Мы намеренно затянули отправку</t>
  </si>
  <si>
    <t>Отправлено 06.03.2019</t>
  </si>
  <si>
    <t>Vancol</t>
  </si>
  <si>
    <t>Deliang</t>
  </si>
  <si>
    <t>C:\Глух\Vancol\1\Signed PI VC-1812L  2018.12.24.pdf</t>
  </si>
  <si>
    <t>ok</t>
  </si>
  <si>
    <t>Отправлено 07.03.2019</t>
  </si>
  <si>
    <t>vancol@vancol.cn</t>
  </si>
  <si>
    <t>41</t>
  </si>
  <si>
    <t>С Запасными частями</t>
  </si>
  <si>
    <t>Отправлено 11.03.2019</t>
  </si>
  <si>
    <t>Ждем материалы от максима</t>
  </si>
  <si>
    <t>Задержка с нашей стороны, ждали упаковку от Максима.</t>
  </si>
  <si>
    <t>1P</t>
  </si>
  <si>
    <t>Отправлено 12.03.2019</t>
  </si>
  <si>
    <t>Баранов</t>
  </si>
  <si>
    <t>Зависший эллард</t>
  </si>
  <si>
    <t>Allright plastic</t>
  </si>
  <si>
    <t>baranov_y@s3.ru</t>
  </si>
  <si>
    <t>Отправлено 13.03.2019</t>
  </si>
  <si>
    <t>Сами специально задержали, так как был пересток</t>
  </si>
  <si>
    <t>15</t>
  </si>
  <si>
    <t>SO11</t>
  </si>
  <si>
    <t>Отправлено 28.02.2020</t>
  </si>
  <si>
    <t>Отправлено 28.02.2021</t>
  </si>
  <si>
    <t>Отправлено 28.02.2022</t>
  </si>
  <si>
    <t>156</t>
  </si>
  <si>
    <t>157</t>
  </si>
  <si>
    <t>Отправлено 18.03.2019</t>
  </si>
  <si>
    <t>C:\Поливахин\Розетки\Yawei\14\PI YW20181218-S3-14.pdf</t>
  </si>
  <si>
    <t>Отправлено 20.03.2019</t>
  </si>
  <si>
    <t>15 артикулов</t>
  </si>
  <si>
    <t>28 артикулов Саша забыл разместить</t>
  </si>
  <si>
    <t>C:\Голубцов.Удлинители\xianxing\153\PI153.pdf</t>
  </si>
  <si>
    <t>Саша сомневался отправлять или нет (из-за того что не протестировали 1 артикул. Поломка тестового оборудования на заводе), пропустили корабль</t>
  </si>
  <si>
    <t>Ждали микса</t>
  </si>
  <si>
    <t>Ждали микса, намерено отложили</t>
  </si>
  <si>
    <t>C:\Голубцов.Удлинители\xianxing\156\PI 156 157 SP11.pdf</t>
  </si>
  <si>
    <t>C:\Голубцов.Удлинители\xianxing\157\PI 156 157 SP11.pdf</t>
  </si>
  <si>
    <t>C:\Голубцов.Удлинители\xianxing\SO11\PI 156 157 SP11.pdf</t>
  </si>
  <si>
    <t>Отправлено 26.03.2019</t>
  </si>
  <si>
    <t>Ждали микса, намерено отложили. В составе микса 3077</t>
  </si>
  <si>
    <t>jack@zcebox.com</t>
  </si>
  <si>
    <t>Jack</t>
  </si>
  <si>
    <t>C:\Поливахин\Розетки\JINLI\39\2018.11.28 Draft of docs RUMETA-PI-C045-039(RE)(E) под.+.pdf</t>
  </si>
  <si>
    <t>C:\Поливахин\Розетки\JINLI\40\2018.12.11 Draft of docs RUMETA-PI-C045-040(E) под.+.pdf</t>
  </si>
  <si>
    <t>C:\Поливахин\Розетки\JINLI\41\2018.12.06 Draft of docs RUMETA-PI-C045-041.xls</t>
  </si>
  <si>
    <t>Отправлено 28.03.2019</t>
  </si>
  <si>
    <t>Нет, микс</t>
  </si>
  <si>
    <t>Отправлено 29.03.2019</t>
  </si>
  <si>
    <t>BOND</t>
  </si>
  <si>
    <t>Viola</t>
  </si>
  <si>
    <t>Jian</t>
  </si>
  <si>
    <t>5,64</t>
  </si>
  <si>
    <t>Задержка артворка. С чем миксовать?</t>
  </si>
  <si>
    <t>56</t>
  </si>
  <si>
    <t>Отправлено 04.04.2019</t>
  </si>
  <si>
    <t>Переделка</t>
  </si>
  <si>
    <t>Переделка/перепроверка</t>
  </si>
  <si>
    <t>Доки высланы на проверку Агароновой Марии</t>
  </si>
  <si>
    <t>Документы одобрены Агароновой Марией</t>
  </si>
  <si>
    <t>Огромная задержка</t>
  </si>
  <si>
    <t>langliwj02@langliwj.cn</t>
  </si>
  <si>
    <t>3 артикула оставили. Задержка из-за упаковки.</t>
  </si>
  <si>
    <t>1) Введите почту поставщика</t>
  </si>
  <si>
    <t>2) Нажмите кнопку</t>
  </si>
  <si>
    <t>3)Проанализируйте и отправьте полученные документы Агароновой Марии</t>
  </si>
  <si>
    <t>4) Получите добро от Агароновой Марии</t>
  </si>
  <si>
    <t>5) Заведите карточку поставщика</t>
  </si>
  <si>
    <t>6) Сообщите РТН о готовности карточки поставщика, попросите РТН создать контракт. (создайте самостоятельно, если реальность все ещё жестока)</t>
  </si>
  <si>
    <t>7) Исправьте ошибки в контракте, отправьте поставщику на согласование</t>
  </si>
  <si>
    <t>8) Выложите подписанный контракт на сайт и на сервер</t>
  </si>
  <si>
    <t>9) Нажмите кнопку</t>
  </si>
  <si>
    <t>sales1@ac-contactor.cn</t>
  </si>
  <si>
    <t>Bond</t>
  </si>
  <si>
    <t>sale@allright.cc</t>
  </si>
  <si>
    <t>Allright</t>
  </si>
  <si>
    <t>Думали с Чем миксовать. Забыли оплатить 70%</t>
  </si>
  <si>
    <t>30/70 после отгрузки</t>
  </si>
  <si>
    <t>Письмо №3</t>
  </si>
  <si>
    <t>Письмо#3</t>
  </si>
  <si>
    <t>Разъяснены правила назначения инспекции, ее отмены</t>
  </si>
  <si>
    <t>10) Перед 1ой отгрузкой нажмите кнопку 3</t>
  </si>
  <si>
    <t xml:space="preserve">               Good day, dear partner! During the loading of container great quality photo-report should be made. Please, read the Attachment #1 carefully. Good quality report could release you from any responsability related to problems happened to the goods during the delivery process. It's essential for maintaining long-term business relationships.</t>
  </si>
  <si>
    <t>Отправлено 26.04.2019</t>
  </si>
  <si>
    <t>48 артикулов. Лиза проспала, не выдала инструкции. Проблема с сертификацией</t>
  </si>
  <si>
    <t>39 артикулов. 2% штраф за срыв сроков. Небольшая задержка из-за выставки и миксования. Поставщики реагировали очень медленно</t>
  </si>
  <si>
    <t>47 артикулов. Лиза проспала, не выдала инструкции. Проблема с сертификацией длилась 2 недели</t>
  </si>
  <si>
    <t>Отправлено 29.04.2019</t>
  </si>
  <si>
    <t>..\Поливахин\Розетки\Yawei\15\scan of final PI YW20190404-S3-15 order15 2019-4-30.pdf</t>
  </si>
  <si>
    <t>4 конт</t>
  </si>
  <si>
    <t>158</t>
  </si>
  <si>
    <t>159</t>
  </si>
  <si>
    <t>SO-12</t>
  </si>
  <si>
    <t>Выложен</t>
  </si>
  <si>
    <t>Микс</t>
  </si>
  <si>
    <t>После проверки 15 апреля была переделка заказа. Повторная инспекция проведена 29 апреля. По результатам повторной проверки USF-BOX опять отправили на переделку.</t>
  </si>
  <si>
    <t>Отправлено 10.05.2019</t>
  </si>
  <si>
    <t>2,44</t>
  </si>
  <si>
    <t>3,95</t>
  </si>
  <si>
    <t>ОК</t>
  </si>
  <si>
    <t>Отправлено 15.05.2019</t>
  </si>
  <si>
    <t>Тестировали в лаборатории на сгораемость</t>
  </si>
  <si>
    <t>Отправлено 20.05.2019</t>
  </si>
  <si>
    <t>..\Голубцов.Удлинители\xianxing\158\signed PI.pdf</t>
  </si>
  <si>
    <t>22 articles K,R,SP,V,SFU</t>
  </si>
  <si>
    <t>17 articles SF SFU SP UR</t>
  </si>
  <si>
    <t>26,6</t>
  </si>
  <si>
    <t>Отправка после небольшой доработки (3дня)</t>
  </si>
  <si>
    <t>Отправлено 27.05.2019</t>
  </si>
  <si>
    <t>z</t>
  </si>
  <si>
    <t>Ждем тестов. Сфера сломана.</t>
  </si>
  <si>
    <t>cejie@cejie.cn</t>
  </si>
  <si>
    <t>Cejie</t>
  </si>
  <si>
    <t>Отправлено 30.05.2019</t>
  </si>
  <si>
    <t>42</t>
  </si>
  <si>
    <t>10/90 75 дней после отгрузки</t>
  </si>
  <si>
    <t>Отправлено 31.05.2019</t>
  </si>
  <si>
    <t>sales37@china-utl.com</t>
  </si>
  <si>
    <t>UTL</t>
  </si>
  <si>
    <t>BLOX</t>
  </si>
  <si>
    <t>Kaseey</t>
  </si>
  <si>
    <t>sales@kaseey.com</t>
  </si>
  <si>
    <t>jobss@bloxconnect.com</t>
  </si>
  <si>
    <t>zhangjack@vip.163.com</t>
  </si>
  <si>
    <t>HONT</t>
  </si>
  <si>
    <t>Отправлено 19.06.2019</t>
  </si>
  <si>
    <t>160</t>
  </si>
  <si>
    <t>161</t>
  </si>
  <si>
    <t>162</t>
  </si>
  <si>
    <t>SO12</t>
  </si>
  <si>
    <t>43</t>
  </si>
  <si>
    <t>16</t>
  </si>
  <si>
    <t>jxcable@hzcable.com</t>
  </si>
  <si>
    <t>salesmanager@cntengfei.com</t>
  </si>
  <si>
    <t>..\Фомин\EUROSIN\3\CDE2019012 (ORDER 3 DOCUMENTS).xlsx</t>
  </si>
  <si>
    <t>Контракт подписан?</t>
  </si>
  <si>
    <t>Оригинал в КП?</t>
  </si>
  <si>
    <t>Отправлен в ЦО?</t>
  </si>
  <si>
    <t>-</t>
  </si>
  <si>
    <t>Jiaxiang Cable</t>
  </si>
  <si>
    <t>Anji Tengfei</t>
  </si>
  <si>
    <t>С Агароновой 26-6-19</t>
  </si>
  <si>
    <t>Письма</t>
  </si>
  <si>
    <t>Запрошен</t>
  </si>
  <si>
    <t>ДС</t>
  </si>
  <si>
    <t>Подписан</t>
  </si>
  <si>
    <t>С менеджером завода 30-6-19</t>
  </si>
  <si>
    <t>163</t>
  </si>
  <si>
    <t>164</t>
  </si>
  <si>
    <t>Заново запрошен</t>
  </si>
  <si>
    <t>Отправлено 02.07.2019</t>
  </si>
  <si>
    <t>sales03@gdght.com</t>
  </si>
  <si>
    <t>GHT</t>
  </si>
  <si>
    <t>Chana EXP + POA</t>
  </si>
  <si>
    <t>8,24</t>
  </si>
  <si>
    <t>6,5</t>
  </si>
  <si>
    <t>h1 {background-color:orange;</t>
  </si>
  <si>
    <t xml:space="preserve">    margin-left:10;</t>
  </si>
  <si>
    <t xml:space="preserve">    border: solid grey 3px;</t>
  </si>
  <si>
    <t xml:space="preserve">    border-radius:10px;</t>
  </si>
  <si>
    <t xml:space="preserve">    width:230;</t>
  </si>
  <si>
    <t xml:space="preserve">    align:center;}</t>
  </si>
  <si>
    <t>h1:hover {background-color:red;}</t>
  </si>
  <si>
    <t>165</t>
  </si>
  <si>
    <t>SO13</t>
  </si>
  <si>
    <t>44</t>
  </si>
  <si>
    <t>45</t>
  </si>
  <si>
    <t>6 артикулов USF, ждем товар для микса</t>
  </si>
  <si>
    <t>Отправлено 02.08.2019</t>
  </si>
  <si>
    <t>Sanly</t>
  </si>
  <si>
    <t>Черных</t>
  </si>
  <si>
    <t>Andy</t>
  </si>
  <si>
    <t>Jobs</t>
  </si>
  <si>
    <t>Отправлено 13.08.2019</t>
  </si>
  <si>
    <t>0/100, 40 дней после депозита</t>
  </si>
  <si>
    <t>168</t>
  </si>
  <si>
    <t>169</t>
  </si>
  <si>
    <t>Брак огнестойкости. Торговались за скидку.</t>
  </si>
  <si>
    <t>Chana</t>
  </si>
  <si>
    <t>sales07@changangroup.com.cn</t>
  </si>
  <si>
    <t>Yawei</t>
  </si>
  <si>
    <t>Jinli</t>
  </si>
  <si>
    <t>Langli</t>
  </si>
  <si>
    <t>20/80 перед отгрузкой</t>
  </si>
  <si>
    <t>10/90, 90 дней после депозита</t>
  </si>
  <si>
    <t>Отправлено 22.08.2019</t>
  </si>
  <si>
    <t>Не оплачен</t>
  </si>
  <si>
    <t>не актуально</t>
  </si>
  <si>
    <t>4,5</t>
  </si>
  <si>
    <t>Отправлено 26.08.2019</t>
  </si>
  <si>
    <t>13,9</t>
  </si>
  <si>
    <t>40hq</t>
  </si>
  <si>
    <t>4,37</t>
  </si>
  <si>
    <t>Susan</t>
  </si>
  <si>
    <t>1,2</t>
  </si>
  <si>
    <t>Не платили</t>
  </si>
  <si>
    <t>Отправлено 30.08.2019</t>
  </si>
  <si>
    <t>60 дней после отгрузки, 40 дней после депозита</t>
  </si>
  <si>
    <t>Отправлено 04.09.2019</t>
  </si>
  <si>
    <t>26 артикулов</t>
  </si>
  <si>
    <t>Отправлено 05.09.2019</t>
  </si>
  <si>
    <t>Tina</t>
  </si>
  <si>
    <t>46</t>
  </si>
  <si>
    <t>Отправлено 16.09.2019</t>
  </si>
  <si>
    <t>Отправлено 17.09.2019</t>
  </si>
  <si>
    <t>2Р</t>
  </si>
  <si>
    <t>HSD</t>
  </si>
  <si>
    <t>sales@hsdcable.com</t>
  </si>
  <si>
    <t>Намерено откладываем отгрузку</t>
  </si>
  <si>
    <t>Переделка, брак</t>
  </si>
  <si>
    <t>Harry</t>
  </si>
  <si>
    <t>15/85</t>
  </si>
  <si>
    <t>chernykh_a@s3.ru</t>
  </si>
  <si>
    <t>Tengfeng</t>
  </si>
  <si>
    <t>100%, 120 дней после отгрузки</t>
  </si>
  <si>
    <t>100%, 60 дней после отгрузки</t>
  </si>
  <si>
    <t>Отправлено 23.09.2019</t>
  </si>
  <si>
    <t>47</t>
  </si>
  <si>
    <t>Фотоинспекция</t>
  </si>
  <si>
    <t>Отправлено 27.09.2019</t>
  </si>
  <si>
    <t>Отпрален без подтверждения</t>
  </si>
  <si>
    <t>2 контейнера</t>
  </si>
  <si>
    <t>Отправлено 18.10.2019</t>
  </si>
  <si>
    <t>новые условия 10/90</t>
  </si>
  <si>
    <t>хонт</t>
  </si>
  <si>
    <t>ютл</t>
  </si>
  <si>
    <t>блокс</t>
  </si>
  <si>
    <t>эйджиси</t>
  </si>
  <si>
    <t>Бездепозит с нового заказа</t>
  </si>
  <si>
    <t>Отправлено 25.10.2019</t>
  </si>
  <si>
    <t>48</t>
  </si>
  <si>
    <t>49</t>
  </si>
  <si>
    <t>166/2</t>
  </si>
  <si>
    <t>166/1</t>
  </si>
  <si>
    <t>СРОЧНЫЙ</t>
  </si>
  <si>
    <t>Отправлено 29.10.2019</t>
  </si>
  <si>
    <t>10/90 перед отгрузкой</t>
  </si>
  <si>
    <t xml:space="preserve">fiona@futina.com </t>
  </si>
  <si>
    <t>Futina</t>
  </si>
  <si>
    <t>20/80 после отгрузки + 90 дней</t>
  </si>
  <si>
    <t>Jixiang</t>
  </si>
  <si>
    <t>Отправлено 31.10.2019</t>
  </si>
  <si>
    <t>164/2</t>
  </si>
  <si>
    <t>Отправлено 11.10.2018</t>
  </si>
  <si>
    <t>31 артикула</t>
  </si>
  <si>
    <t>30 дней после отгрузки</t>
  </si>
  <si>
    <t>172</t>
  </si>
  <si>
    <t>173</t>
  </si>
  <si>
    <t>174</t>
  </si>
  <si>
    <t>167/1</t>
  </si>
  <si>
    <t>167/2</t>
  </si>
  <si>
    <t>Отправлено 04.11.2019</t>
  </si>
  <si>
    <t>170/1</t>
  </si>
  <si>
    <t>171/1</t>
  </si>
  <si>
    <t>Отправлено 12.11.2019</t>
  </si>
  <si>
    <t>Отправлено 15.11.2019</t>
  </si>
  <si>
    <t>ll@zhenshengcn.com</t>
  </si>
  <si>
    <t>Zhengsheng</t>
  </si>
  <si>
    <t>175</t>
  </si>
  <si>
    <t>Отправлено 25.11.2019</t>
  </si>
  <si>
    <t>Отправлено 27.11.2019</t>
  </si>
  <si>
    <t>0/100, 90 дней после депозита</t>
  </si>
  <si>
    <t>новые условия отсрочка 60 дней</t>
  </si>
  <si>
    <t>23 артикула</t>
  </si>
  <si>
    <t>admin@rscable.com</t>
  </si>
  <si>
    <t>Rising Sun</t>
  </si>
  <si>
    <t>83 актикула</t>
  </si>
  <si>
    <t>Оплачен</t>
  </si>
  <si>
    <t>Отправлено 03.12.2019</t>
  </si>
  <si>
    <t>3 cont</t>
  </si>
  <si>
    <t>1 cont</t>
  </si>
  <si>
    <t xml:space="preserve">              Dear partner! As you may know Russian Customs requirements become more strict every year. To facilitate our customs clearance in Russia and to secure smooth development of our business we need to sign with your company a direct shipment Contract.  
Direct shipment contract allows us to provide the whole set of documents to our Customs and to avoid complications and unexpected fees during customs clearance. But the requirements to the documents are much more rigid that those of a simple contract. One of requirements of the “direct” contract is that all this documents should be issued by the same company.  
1.      Please, advise which company will be mentioned as a Shipper on  all shipping documents, especially on an Export declaration, BL, Certificate of Original or Form A. All documents must contain name of same company. Is it OK for you? 
2. Please send me scans of all these abovementioned documents. We only need to see if you ever issued this docs, so you may delete all sensitive information, that you don't want to be shown.
3.      Also we need a scan of the Business license (营业执照) and the export license (对外贸易经营者备案登记表 /进口货物收发货人报关注册登记证书) of company which will be the Shipper. We can sign the Contract only with such company.
4.      Please note that for us 1 order is 1 container, so each container needs a  set of documents mentioned in the Contract. If 1 order has 2 containers volume, you should prepare 2 sets of documents. This can incur additional paperwork cost, please, pay attention.
5.      Please see the scans of documents that we need for Customs clearance. Could you get all of it ? (Check attachments)
6.      Will the price in your declaration be absolutely the same as in our invoice? It should be.
7.      Please, send us a scan of the Paperless customs clearance export release notice and export declaration JG02. Can you get CCPIT verification for them (please, see the sample)
8 .    Please, advise who will sign the contract from you side? Please, let me know, also if this person is Mr. or Mrs.
9. Please, send me your bank account details. We can pay only to mainland China bank USD accounts.
Waiting for your comments.
</t>
  </si>
  <si>
    <t>176</t>
  </si>
  <si>
    <t>177</t>
  </si>
  <si>
    <t>Отправлено 04.12.2019</t>
  </si>
  <si>
    <t>..\..\..\Баранов\Kaseey\Заказы\01\PI-1.jpg</t>
  </si>
  <si>
    <t>..\..\..\Баранов\Kaseey\Заказы\01\PI-2.jpg</t>
  </si>
  <si>
    <t>1,5</t>
  </si>
  <si>
    <t>27 артикулов</t>
  </si>
  <si>
    <t>50</t>
  </si>
  <si>
    <t>Отправлено 11.12.2019</t>
  </si>
  <si>
    <t>2.464</t>
  </si>
  <si>
    <t>90 дней отсрочка баланса 26 артикулов</t>
  </si>
  <si>
    <t>9 артикулов</t>
  </si>
  <si>
    <t>..\..\..\Черных\HSD\Заказ\01\PI-blox-Подпись.xlsx</t>
  </si>
  <si>
    <t>43 артикула размеры</t>
  </si>
  <si>
    <t>немного осталось еще</t>
  </si>
  <si>
    <t>Отправлено 16.12.2019</t>
  </si>
  <si>
    <t>Отправлено 18.12.2019</t>
  </si>
  <si>
    <t>Отправлено 19.12.2019</t>
  </si>
  <si>
    <t>89 артикулов</t>
  </si>
  <si>
    <t>Zhensheng</t>
  </si>
  <si>
    <t>Отправлено 26.12.2019</t>
  </si>
  <si>
    <t>Кнопки</t>
  </si>
  <si>
    <t>микс 31.12.2019</t>
  </si>
  <si>
    <t>20,5</t>
  </si>
  <si>
    <t>Задержали оплату. Ждали контейнера/логистов</t>
  </si>
  <si>
    <t>90 дней отсрочка баланса 50 артикулов</t>
  </si>
  <si>
    <t>Отправлено 02.01.2020</t>
  </si>
  <si>
    <t>Отправлено 03.01.2020</t>
  </si>
  <si>
    <t>32 артикула. Отгрузку подтвердил я</t>
  </si>
  <si>
    <t>6 артикулов</t>
  </si>
  <si>
    <t>МИКС?</t>
  </si>
  <si>
    <t>ПЕРЕДЕЛКА ЗАКАЗА</t>
  </si>
  <si>
    <t>1,55</t>
  </si>
  <si>
    <t>Weda</t>
  </si>
  <si>
    <t>hf_cable@hotmail.com</t>
  </si>
  <si>
    <t>60 дней 100%</t>
  </si>
  <si>
    <t>Отправлено 13.01.2020</t>
  </si>
  <si>
    <t>Elaine@huayanelec.com</t>
  </si>
  <si>
    <t xml:space="preserve">Huayan Electronic </t>
  </si>
  <si>
    <r>
      <t>Ушел с 4 разными отгрузками 10/25,10/31,11/15</t>
    </r>
    <r>
      <rPr>
        <sz val="11"/>
        <color theme="1"/>
        <rFont val="Arial Unicode MS"/>
        <family val="2"/>
        <charset val="134"/>
      </rPr>
      <t>，</t>
    </r>
    <r>
      <rPr>
        <sz val="11"/>
        <color theme="1"/>
        <rFont val="Arial"/>
        <family val="2"/>
        <charset val="204"/>
      </rPr>
      <t xml:space="preserve">11/27
</t>
    </r>
    <r>
      <rPr>
        <sz val="11"/>
        <color theme="1"/>
        <rFont val="Arial Unicode MS"/>
        <family val="2"/>
        <charset val="134"/>
      </rPr>
      <t>和</t>
    </r>
    <r>
      <rPr>
        <sz val="11"/>
        <color theme="1"/>
        <rFont val="Arial"/>
        <family val="2"/>
        <charset val="204"/>
      </rPr>
      <t>146</t>
    </r>
    <r>
      <rPr>
        <sz val="11"/>
        <color theme="1"/>
        <rFont val="Arial Unicode MS"/>
        <family val="2"/>
        <charset val="134"/>
      </rPr>
      <t>，</t>
    </r>
    <r>
      <rPr>
        <sz val="11"/>
        <color theme="1"/>
        <rFont val="Arial"/>
        <family val="2"/>
        <charset val="204"/>
      </rPr>
      <t>147</t>
    </r>
    <r>
      <rPr>
        <sz val="11"/>
        <color theme="1"/>
        <rFont val="Arial Unicode MS"/>
        <family val="2"/>
        <charset val="134"/>
      </rPr>
      <t>混一起出的</t>
    </r>
  </si>
  <si>
    <r>
      <rPr>
        <sz val="11"/>
        <color theme="1"/>
        <rFont val="Arial Unicode MS"/>
        <family val="2"/>
        <charset val="134"/>
      </rPr>
      <t>我的同事</t>
    </r>
    <r>
      <rPr>
        <sz val="11"/>
        <color theme="1"/>
        <rFont val="Arial"/>
        <family val="2"/>
        <charset val="204"/>
      </rPr>
      <t>kary</t>
    </r>
    <r>
      <rPr>
        <sz val="11"/>
        <color theme="1"/>
        <rFont val="Arial Unicode MS"/>
        <family val="2"/>
        <charset val="134"/>
      </rPr>
      <t>发过几次邮件给她，她都没有回复</t>
    </r>
  </si>
  <si>
    <r>
      <t xml:space="preserve">По вине завода
</t>
    </r>
    <r>
      <rPr>
        <sz val="11"/>
        <color theme="1"/>
        <rFont val="Arial Unicode MS"/>
        <family val="2"/>
        <charset val="134"/>
      </rPr>
      <t>因为</t>
    </r>
    <r>
      <rPr>
        <sz val="11"/>
        <color theme="1"/>
        <rFont val="Arial"/>
        <family val="2"/>
        <charset val="204"/>
      </rPr>
      <t>11</t>
    </r>
    <r>
      <rPr>
        <sz val="11"/>
        <color theme="1"/>
        <rFont val="Arial Unicode MS"/>
        <family val="2"/>
        <charset val="134"/>
      </rPr>
      <t>号订单产品有几款有镀铬的</t>
    </r>
    <r>
      <rPr>
        <sz val="11"/>
        <color theme="1"/>
        <rFont val="Arial"/>
        <family val="2"/>
        <charset val="204"/>
      </rPr>
      <t xml:space="preserve">   </t>
    </r>
    <r>
      <rPr>
        <sz val="11"/>
        <color theme="1"/>
        <rFont val="Arial Unicode MS"/>
        <family val="2"/>
        <charset val="134"/>
      </rPr>
      <t>我们还在排队</t>
    </r>
  </si>
  <si>
    <t>30/71 после отгрузки</t>
  </si>
  <si>
    <t>30/72 после отгрузки</t>
  </si>
  <si>
    <t>2020/3/27?</t>
    <phoneticPr fontId="50" type="noConversion"/>
  </si>
  <si>
    <t>Ru</t>
    <phoneticPr fontId="50" type="noConversion"/>
  </si>
  <si>
    <t>41</t>
    <phoneticPr fontId="50" type="noConversion"/>
  </si>
  <si>
    <t>42</t>
    <phoneticPr fontId="50" type="noConversion"/>
  </si>
  <si>
    <t>43</t>
    <phoneticPr fontId="50" type="noConversion"/>
  </si>
  <si>
    <t>44</t>
    <phoneticPr fontId="50" type="noConversion"/>
  </si>
  <si>
    <t>примерно2020/1/15</t>
    <phoneticPr fontId="50" type="noConversion"/>
  </si>
  <si>
    <t>51</t>
    <phoneticPr fontId="50" type="noConversion"/>
  </si>
  <si>
    <t>52</t>
    <phoneticPr fontId="50" type="noConversion"/>
  </si>
  <si>
    <t>53</t>
    <phoneticPr fontId="50" type="noConversion"/>
  </si>
  <si>
    <t>FUTINA</t>
    <phoneticPr fontId="50" type="noConversion"/>
  </si>
  <si>
    <t>Fiona</t>
    <phoneticPr fontId="50" type="noConversion"/>
  </si>
  <si>
    <t>30/70</t>
    <phoneticPr fontId="50" type="noConversion"/>
  </si>
  <si>
    <t>1</t>
    <phoneticPr fontId="50" type="noConversion"/>
  </si>
  <si>
    <r>
      <t xml:space="preserve">
Dear partner! There are few important notice, that we should pay attention to, in order to build long term beneficial business. Please, read them carefully and inform me if there is something unclear:
1) We use modern automatic storehouse which is operated by scaners. This is why there are few strict requirements for the masterboxes:
a) Masterbox weight should never exceed 23 kilograms; Order weight should never exceed 22 tons.
b) Every masterbox should have a barcode. The Attachment #1 contains a barcode printing rules and examples. Every measurement is important!
c) Every masterbox should have an order number. You can choose any method to mark it (a handwriting is fine as well). It should be as simple as "order #10".
2) Right after signing and stamping proforma invoice with red round master-seal, please send a proforma invoice original to our shenzhen office (艾特林电子技术咨询（深圳）有限公司，9144030057765456XG，广东省深圳市南山区南海大道创业路北保利城花园写字楼901，电话：‭+86 (755) 8603 3881‬).
 </t>
    </r>
    <r>
      <rPr>
        <b/>
        <sz val="11"/>
        <rFont val="Arial Unicode MS"/>
        <family val="2"/>
        <charset val="134"/>
      </rPr>
      <t>2 weeks</t>
    </r>
    <r>
      <rPr>
        <sz val="11"/>
        <rFont val="Arial Unicode MS"/>
        <family val="2"/>
        <charset val="134"/>
      </rPr>
      <t xml:space="preserve"> before the order readiness date you should:
a) Inform me and a related manager about it;
b) Send Elizabeth (Mahalina_e@s3.ru) and Oksana (strelbina_o@s3.ru) filled "Shipping request". Please check the Attachment#2, shipping request form. 
3)One week before the readiness date (readiness is when 100% of </t>
    </r>
    <r>
      <rPr>
        <b/>
        <sz val="11"/>
        <rFont val="Arial Unicode MS"/>
        <family val="2"/>
        <charset val="134"/>
      </rPr>
      <t>every</t>
    </r>
    <r>
      <rPr>
        <sz val="11"/>
        <rFont val="Arial Unicode MS"/>
        <family val="2"/>
        <charset val="134"/>
      </rPr>
      <t xml:space="preserve"> article is produced and 80% is packed) , please invite us to make a quality inspection. If when we arrive to the factory you will not be able to present 80% of the goods, inspection should be cancelled, all the cost incured should be payed by the factory, including labour cost, airplane ticket, hotel fees and so on. If you want to change date of the inspection, please inform us not less the 48 hours before the inspection date.
4) Under NO circumstuncies you should not send an order to a port without manager‘s confirmation!!! Even if there is a booked ship, and this is a last chance to catch up this ship. Shipping agent (货代) also doesn't have any right to decide on our behalf whether goods can be shipped already, or not. 
5) Please note that for us 1 order is 1 container, so each container needs a  set of documents mentioned in the Contract. If 1 order has 2 containers volume, you should prepare 2 sets of documents. This can incur additional paperwork cost, please, pay attention.
</t>
    </r>
  </si>
  <si>
    <t>27</t>
    <phoneticPr fontId="50" type="noConversion"/>
  </si>
  <si>
    <t>28</t>
    <phoneticPr fontId="50" type="noConversion"/>
  </si>
  <si>
    <t>Видеоотчет</t>
    <phoneticPr fontId="50" type="noConversion"/>
  </si>
  <si>
    <t>7</t>
    <phoneticPr fontId="50" type="noConversion"/>
  </si>
  <si>
    <t>отправлен</t>
    <phoneticPr fontId="50" type="noConversion"/>
  </si>
  <si>
    <t>Zhensheng</t>
    <phoneticPr fontId="50" type="noConversion"/>
  </si>
  <si>
    <t>Cabo</t>
    <phoneticPr fontId="50" type="noConversion"/>
  </si>
  <si>
    <t>Elaine</t>
    <phoneticPr fontId="50" type="noConversion"/>
  </si>
  <si>
    <t>Huayan</t>
    <phoneticPr fontId="50" type="noConversion"/>
  </si>
  <si>
    <t>28-2-2020</t>
    <phoneticPr fontId="50" type="noConversion"/>
  </si>
  <si>
    <t>100%, 121 дней после отгрузки</t>
  </si>
  <si>
    <t>17.01.2020</t>
    <phoneticPr fontId="50" type="noConversion"/>
  </si>
  <si>
    <t>sales38@china-utl.com</t>
  </si>
  <si>
    <t>sales39@china-utl.com</t>
  </si>
  <si>
    <t>отправлен</t>
    <phoneticPr fontId="50" type="noConversion"/>
  </si>
  <si>
    <t>10/90, 89 дней после депозита</t>
  </si>
  <si>
    <t>golubcov_a@s2.ru</t>
  </si>
  <si>
    <t>3Р</t>
    <phoneticPr fontId="50" type="noConversion"/>
  </si>
  <si>
    <t>4Р</t>
    <phoneticPr fontId="50" type="noConversion"/>
  </si>
</sst>
</file>

<file path=xl/styles.xml><?xml version="1.0" encoding="utf-8"?>
<styleSheet xmlns="http://schemas.openxmlformats.org/spreadsheetml/2006/main">
  <numFmts count="1">
    <numFmt numFmtId="176" formatCode="d/m/yyyy;@"/>
  </numFmts>
  <fonts count="51">
    <font>
      <sz val="11"/>
      <color theme="1"/>
      <name val="宋体"/>
      <family val="2"/>
      <scheme val="minor"/>
    </font>
    <font>
      <sz val="11"/>
      <color theme="1"/>
      <name val="宋体"/>
      <family val="2"/>
      <charset val="204"/>
      <scheme val="minor"/>
    </font>
    <font>
      <sz val="11"/>
      <color theme="1"/>
      <name val="宋体"/>
      <family val="2"/>
      <charset val="204"/>
      <scheme val="minor"/>
    </font>
    <font>
      <b/>
      <sz val="11"/>
      <color theme="1"/>
      <name val="宋体"/>
      <family val="2"/>
      <scheme val="minor"/>
    </font>
    <font>
      <b/>
      <sz val="10"/>
      <color theme="1"/>
      <name val="宋体"/>
      <family val="2"/>
      <scheme val="minor"/>
    </font>
    <font>
      <sz val="9"/>
      <color indexed="81"/>
      <name val="Tahoma"/>
      <family val="2"/>
    </font>
    <font>
      <b/>
      <sz val="9"/>
      <color indexed="81"/>
      <name val="Tahoma"/>
      <family val="2"/>
      <charset val="204"/>
    </font>
    <font>
      <sz val="10"/>
      <color theme="1"/>
      <name val="宋体"/>
      <family val="2"/>
      <scheme val="minor"/>
    </font>
    <font>
      <sz val="9"/>
      <color indexed="81"/>
      <name val="Tahoma"/>
      <family val="2"/>
      <charset val="204"/>
    </font>
    <font>
      <sz val="11"/>
      <name val="宋体"/>
      <family val="2"/>
      <charset val="204"/>
      <scheme val="minor"/>
    </font>
    <font>
      <sz val="11"/>
      <name val="宋体"/>
      <family val="2"/>
      <scheme val="minor"/>
    </font>
    <font>
      <u/>
      <sz val="11"/>
      <color theme="10"/>
      <name val="宋体"/>
      <family val="2"/>
      <scheme val="minor"/>
    </font>
    <font>
      <sz val="9"/>
      <color theme="1"/>
      <name val="宋体"/>
      <family val="2"/>
      <scheme val="minor"/>
    </font>
    <font>
      <sz val="11"/>
      <color rgb="FF000000"/>
      <name val="宋体"/>
      <family val="2"/>
      <scheme val="minor"/>
    </font>
    <font>
      <b/>
      <sz val="11"/>
      <name val="宋体"/>
      <family val="2"/>
      <scheme val="minor"/>
    </font>
    <font>
      <sz val="8"/>
      <color theme="1"/>
      <name val="宋体"/>
      <family val="2"/>
      <scheme val="minor"/>
    </font>
    <font>
      <sz val="11"/>
      <color rgb="FF1F497D"/>
      <name val="Calibri"/>
      <family val="2"/>
      <charset val="204"/>
    </font>
    <font>
      <sz val="10"/>
      <name val="宋体"/>
      <family val="2"/>
      <scheme val="minor"/>
    </font>
    <font>
      <sz val="10"/>
      <name val="宋体"/>
      <family val="2"/>
      <charset val="204"/>
      <scheme val="minor"/>
    </font>
    <font>
      <b/>
      <sz val="48"/>
      <color theme="1"/>
      <name val="宋体"/>
      <family val="2"/>
      <charset val="204"/>
      <scheme val="minor"/>
    </font>
    <font>
      <sz val="11"/>
      <color rgb="FFFF0000"/>
      <name val="宋体"/>
      <family val="2"/>
      <scheme val="minor"/>
    </font>
    <font>
      <b/>
      <sz val="11"/>
      <color rgb="FFFF0000"/>
      <name val="宋体"/>
      <family val="2"/>
      <charset val="204"/>
      <scheme val="minor"/>
    </font>
    <font>
      <b/>
      <sz val="11"/>
      <name val="宋体"/>
      <family val="2"/>
      <charset val="204"/>
      <scheme val="minor"/>
    </font>
    <font>
      <sz val="11"/>
      <color rgb="FF000000"/>
      <name val="Calibri"/>
      <family val="2"/>
    </font>
    <font>
      <b/>
      <sz val="10"/>
      <color rgb="FFFF6600"/>
      <name val="Calibri"/>
      <family val="2"/>
    </font>
    <font>
      <b/>
      <sz val="11"/>
      <color rgb="FFFF6600"/>
      <name val="Calibri"/>
      <family val="2"/>
    </font>
    <font>
      <i/>
      <sz val="10"/>
      <color rgb="FFFF0000"/>
      <name val="Calibri"/>
      <family val="2"/>
    </font>
    <font>
      <sz val="11"/>
      <color theme="1"/>
      <name val="Arial Unicode MS"/>
      <family val="2"/>
      <charset val="134"/>
    </font>
    <font>
      <sz val="11"/>
      <name val="Arial Unicode MS"/>
      <family val="2"/>
      <charset val="134"/>
    </font>
    <font>
      <b/>
      <sz val="11"/>
      <name val="Arial Unicode MS"/>
      <family val="2"/>
      <charset val="134"/>
    </font>
    <font>
      <u/>
      <sz val="11"/>
      <color theme="10"/>
      <name val="Arial Unicode MS"/>
      <family val="2"/>
      <charset val="134"/>
    </font>
    <font>
      <b/>
      <sz val="11"/>
      <color rgb="FFFF0000"/>
      <name val="Arial Unicode MS"/>
      <family val="2"/>
      <charset val="134"/>
    </font>
    <font>
      <b/>
      <sz val="11"/>
      <color theme="1"/>
      <name val="Arial"/>
      <family val="2"/>
      <charset val="204"/>
    </font>
    <font>
      <sz val="11"/>
      <color theme="1"/>
      <name val="Arial"/>
      <family val="2"/>
      <charset val="204"/>
    </font>
    <font>
      <sz val="11"/>
      <name val="Arial"/>
      <family val="2"/>
      <charset val="204"/>
    </font>
    <font>
      <sz val="8"/>
      <color theme="1"/>
      <name val="Arial"/>
      <family val="2"/>
      <charset val="204"/>
    </font>
    <font>
      <b/>
      <sz val="10"/>
      <color theme="1"/>
      <name val="Arial"/>
      <family val="2"/>
      <charset val="204"/>
    </font>
    <font>
      <b/>
      <sz val="11"/>
      <name val="Arial"/>
      <family val="2"/>
      <charset val="204"/>
    </font>
    <font>
      <sz val="9"/>
      <color theme="1"/>
      <name val="Arial"/>
      <family val="2"/>
      <charset val="204"/>
    </font>
    <font>
      <sz val="11"/>
      <color rgb="FF000000"/>
      <name val="Arial"/>
      <family val="2"/>
      <charset val="204"/>
    </font>
    <font>
      <sz val="10"/>
      <name val="Arial"/>
      <family val="2"/>
      <charset val="204"/>
    </font>
    <font>
      <sz val="10"/>
      <color theme="1"/>
      <name val="Arial"/>
      <family val="2"/>
      <charset val="204"/>
    </font>
    <font>
      <u/>
      <sz val="11"/>
      <color theme="10"/>
      <name val="Arial"/>
      <family val="2"/>
      <charset val="204"/>
    </font>
    <font>
      <b/>
      <sz val="11"/>
      <color rgb="FFFF0000"/>
      <name val="Arial"/>
      <family val="2"/>
      <charset val="204"/>
    </font>
    <font>
      <sz val="11"/>
      <color rgb="FFFF0000"/>
      <name val="Arial"/>
      <family val="2"/>
      <charset val="204"/>
    </font>
    <font>
      <sz val="11"/>
      <color rgb="FF1F497D"/>
      <name val="Arial"/>
      <family val="2"/>
      <charset val="204"/>
    </font>
    <font>
      <sz val="22"/>
      <color rgb="FFFF0000"/>
      <name val="Arial"/>
      <family val="2"/>
      <charset val="204"/>
    </font>
    <font>
      <b/>
      <sz val="10"/>
      <color rgb="FFFF0000"/>
      <name val="Arial"/>
      <family val="2"/>
      <charset val="204"/>
    </font>
    <font>
      <sz val="14"/>
      <name val="Arial"/>
      <family val="2"/>
      <charset val="204"/>
    </font>
    <font>
      <b/>
      <sz val="10"/>
      <name val="Arial"/>
      <family val="2"/>
      <charset val="204"/>
    </font>
    <font>
      <sz val="9"/>
      <name val="宋体"/>
      <family val="3"/>
      <charset val="134"/>
      <scheme val="minor"/>
    </font>
  </fonts>
  <fills count="24">
    <fill>
      <patternFill patternType="none"/>
    </fill>
    <fill>
      <patternFill patternType="gray125"/>
    </fill>
    <fill>
      <patternFill patternType="solid">
        <fgColor theme="8"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0000"/>
        <bgColor indexed="64"/>
      </patternFill>
    </fill>
    <fill>
      <patternFill patternType="solid">
        <fgColor theme="6" tint="0.39997558519241921"/>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rgb="FF00FFCC"/>
        <bgColor indexed="64"/>
      </patternFill>
    </fill>
    <fill>
      <patternFill patternType="solid">
        <fgColor theme="9" tint="0.79998168889431442"/>
        <bgColor indexed="64"/>
      </patternFill>
    </fill>
    <fill>
      <patternFill patternType="solid">
        <fgColor rgb="FFFFC000"/>
        <bgColor indexed="64"/>
      </patternFill>
    </fill>
    <fill>
      <patternFill patternType="solid">
        <fgColor rgb="FFDDEBF7"/>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bgColor indexed="64"/>
      </patternFill>
    </fill>
    <fill>
      <patternFill patternType="solid">
        <fgColor theme="9"/>
        <bgColor indexed="64"/>
      </patternFill>
    </fill>
    <fill>
      <patternFill patternType="solid">
        <fgColor theme="7" tint="-0.249977111117893"/>
        <bgColor indexed="64"/>
      </patternFill>
    </fill>
    <fill>
      <patternFill patternType="solid">
        <fgColor theme="7"/>
        <bgColor indexed="64"/>
      </patternFill>
    </fill>
    <fill>
      <patternFill patternType="solid">
        <fgColor theme="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s>
  <cellStyleXfs count="2">
    <xf numFmtId="0" fontId="0" fillId="0" borderId="0"/>
    <xf numFmtId="0" fontId="11" fillId="0" borderId="0" applyNumberFormat="0" applyFill="0" applyBorder="0" applyAlignment="0" applyProtection="0"/>
  </cellStyleXfs>
  <cellXfs count="489">
    <xf numFmtId="0" fontId="0" fillId="0" borderId="0" xfId="0"/>
    <xf numFmtId="0" fontId="3" fillId="0" borderId="0" xfId="0" applyNumberFormat="1" applyFont="1" applyAlignment="1">
      <alignment horizontal="center" wrapText="1"/>
    </xf>
    <xf numFmtId="0" fontId="0" fillId="0" borderId="0" xfId="0" applyNumberFormat="1" applyAlignment="1">
      <alignment horizontal="center" wrapText="1"/>
    </xf>
    <xf numFmtId="0" fontId="3" fillId="0" borderId="2" xfId="0" applyNumberFormat="1" applyFont="1" applyBorder="1" applyAlignment="1">
      <alignment horizontal="center" vertical="center" wrapText="1"/>
    </xf>
    <xf numFmtId="0" fontId="0" fillId="3" borderId="1" xfId="0" applyNumberFormat="1" applyFill="1" applyBorder="1" applyAlignment="1">
      <alignment horizontal="center" vertical="center" wrapText="1"/>
    </xf>
    <xf numFmtId="0" fontId="0" fillId="3" borderId="4" xfId="0" applyNumberFormat="1" applyFont="1" applyFill="1" applyBorder="1" applyAlignment="1">
      <alignment horizontal="center" vertical="center" wrapText="1"/>
    </xf>
    <xf numFmtId="0" fontId="0" fillId="3" borderId="3" xfId="0" applyNumberFormat="1" applyFill="1" applyBorder="1" applyAlignment="1">
      <alignment horizontal="center" vertical="center" wrapText="1"/>
    </xf>
    <xf numFmtId="14" fontId="0" fillId="3" borderId="3" xfId="0" applyNumberFormat="1" applyFill="1" applyBorder="1" applyAlignment="1">
      <alignment horizontal="center" vertical="center" wrapText="1"/>
    </xf>
    <xf numFmtId="14" fontId="0" fillId="3" borderId="1" xfId="0" applyNumberFormat="1" applyFill="1" applyBorder="1" applyAlignment="1">
      <alignment horizontal="center" vertical="center" wrapText="1"/>
    </xf>
    <xf numFmtId="14" fontId="0" fillId="8" borderId="3" xfId="0" applyNumberFormat="1" applyFill="1" applyBorder="1" applyAlignment="1">
      <alignment horizontal="center" vertical="center" wrapText="1"/>
    </xf>
    <xf numFmtId="14" fontId="0" fillId="8" borderId="1" xfId="0" applyNumberFormat="1" applyFill="1" applyBorder="1" applyAlignment="1">
      <alignment horizontal="center" vertical="center" wrapText="1"/>
    </xf>
    <xf numFmtId="0" fontId="3" fillId="0" borderId="0" xfId="0" applyNumberFormat="1" applyFont="1" applyAlignment="1">
      <alignment horizontal="center" vertical="center" wrapText="1"/>
    </xf>
    <xf numFmtId="14" fontId="0" fillId="0" borderId="0" xfId="0" applyNumberFormat="1" applyAlignment="1">
      <alignment horizontal="center" vertical="center" wrapText="1"/>
    </xf>
    <xf numFmtId="0" fontId="0" fillId="2" borderId="1" xfId="0" applyNumberFormat="1" applyFill="1" applyBorder="1" applyAlignment="1">
      <alignment horizontal="center" vertical="center" wrapText="1"/>
    </xf>
    <xf numFmtId="14" fontId="0" fillId="2" borderId="1" xfId="0" applyNumberFormat="1" applyFill="1" applyBorder="1" applyAlignment="1">
      <alignment horizontal="center" vertical="center" wrapText="1"/>
    </xf>
    <xf numFmtId="0" fontId="0" fillId="0" borderId="0" xfId="0" applyNumberFormat="1" applyFill="1" applyAlignment="1">
      <alignment horizontal="center" vertical="center" wrapText="1"/>
    </xf>
    <xf numFmtId="0" fontId="0" fillId="3" borderId="3" xfId="0" applyNumberFormat="1" applyFill="1" applyBorder="1" applyAlignment="1">
      <alignment horizontal="center" vertical="center" wrapText="1"/>
    </xf>
    <xf numFmtId="0" fontId="0" fillId="10" borderId="0" xfId="0" applyNumberFormat="1" applyFill="1" applyAlignment="1">
      <alignment horizontal="center" vertical="center" wrapText="1"/>
    </xf>
    <xf numFmtId="1" fontId="0" fillId="8" borderId="0" xfId="0" applyNumberFormat="1" applyFont="1" applyFill="1" applyBorder="1" applyAlignment="1">
      <alignment horizontal="center" vertical="center" wrapText="1"/>
    </xf>
    <xf numFmtId="1" fontId="3" fillId="11" borderId="0" xfId="0" applyNumberFormat="1" applyFont="1" applyFill="1" applyBorder="1" applyAlignment="1">
      <alignment horizontal="center" vertical="center" wrapText="1"/>
    </xf>
    <xf numFmtId="1" fontId="0" fillId="11" borderId="0"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wrapText="1"/>
    </xf>
    <xf numFmtId="14" fontId="0" fillId="0" borderId="1" xfId="0" applyNumberFormat="1" applyBorder="1" applyAlignment="1">
      <alignment horizontal="center" vertical="center" wrapText="1"/>
    </xf>
    <xf numFmtId="0" fontId="0" fillId="6" borderId="1" xfId="0" applyNumberFormat="1" applyFill="1" applyBorder="1" applyAlignment="1">
      <alignment horizontal="center" vertical="center" wrapText="1"/>
    </xf>
    <xf numFmtId="14" fontId="0" fillId="6" borderId="1" xfId="0" applyNumberFormat="1" applyFill="1" applyBorder="1" applyAlignment="1">
      <alignment horizontal="center" vertical="center" wrapText="1"/>
    </xf>
    <xf numFmtId="14" fontId="0" fillId="10" borderId="1" xfId="0" applyNumberFormat="1" applyFill="1" applyBorder="1" applyAlignment="1">
      <alignment horizontal="center" vertical="center" wrapText="1"/>
    </xf>
    <xf numFmtId="14" fontId="0" fillId="9" borderId="1" xfId="0" applyNumberFormat="1" applyFill="1" applyBorder="1" applyAlignment="1">
      <alignment horizontal="center" vertical="center" wrapText="1"/>
    </xf>
    <xf numFmtId="14" fontId="9" fillId="4" borderId="1" xfId="0" applyNumberFormat="1" applyFont="1" applyFill="1" applyBorder="1" applyAlignment="1">
      <alignment horizontal="center" vertical="center" wrapText="1"/>
    </xf>
    <xf numFmtId="0" fontId="0" fillId="2" borderId="1" xfId="0" applyNumberFormat="1" applyFont="1" applyFill="1" applyBorder="1" applyAlignment="1">
      <alignment horizontal="center" vertical="center" wrapText="1"/>
    </xf>
    <xf numFmtId="14" fontId="0" fillId="0" borderId="1" xfId="0" applyNumberFormat="1" applyFill="1" applyBorder="1" applyAlignment="1">
      <alignment horizontal="center" vertical="center" wrapText="1"/>
    </xf>
    <xf numFmtId="14" fontId="0" fillId="13" borderId="1" xfId="0" applyNumberFormat="1" applyFont="1" applyFill="1" applyBorder="1" applyAlignment="1">
      <alignment horizontal="center" vertical="center" wrapText="1"/>
    </xf>
    <xf numFmtId="14" fontId="0" fillId="13" borderId="3" xfId="0" applyNumberFormat="1" applyFont="1" applyFill="1" applyBorder="1" applyAlignment="1">
      <alignment horizontal="center" vertical="center" wrapText="1"/>
    </xf>
    <xf numFmtId="14" fontId="0" fillId="0" borderId="0" xfId="0" applyNumberFormat="1" applyFill="1" applyAlignment="1">
      <alignment horizontal="center" vertical="center" wrapText="1"/>
    </xf>
    <xf numFmtId="14" fontId="9" fillId="6" borderId="1" xfId="0" applyNumberFormat="1" applyFont="1" applyFill="1" applyBorder="1" applyAlignment="1">
      <alignment horizontal="center" vertical="center" wrapText="1"/>
    </xf>
    <xf numFmtId="14" fontId="9" fillId="3" borderId="1" xfId="0" applyNumberFormat="1" applyFont="1" applyFill="1" applyBorder="1" applyAlignment="1">
      <alignment horizontal="center" vertical="center" wrapText="1"/>
    </xf>
    <xf numFmtId="14" fontId="3" fillId="0" borderId="2" xfId="0" applyNumberFormat="1" applyFont="1" applyBorder="1" applyAlignment="1">
      <alignment horizontal="center" vertical="center" wrapText="1"/>
    </xf>
    <xf numFmtId="14" fontId="0" fillId="15" borderId="1" xfId="0" applyNumberFormat="1" applyFont="1" applyFill="1" applyBorder="1" applyAlignment="1">
      <alignment horizontal="center" vertical="center" wrapText="1"/>
    </xf>
    <xf numFmtId="14" fontId="0" fillId="15" borderId="1" xfId="0" applyNumberFormat="1" applyFill="1" applyBorder="1" applyAlignment="1">
      <alignment horizontal="center" vertical="center" wrapText="1"/>
    </xf>
    <xf numFmtId="14" fontId="2" fillId="15" borderId="1" xfId="0" applyNumberFormat="1" applyFont="1" applyFill="1" applyBorder="1" applyAlignment="1">
      <alignment horizontal="center" vertical="center" wrapText="1"/>
    </xf>
    <xf numFmtId="1" fontId="0" fillId="15" borderId="0" xfId="0" applyNumberFormat="1" applyFont="1" applyFill="1" applyBorder="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11" fillId="0" borderId="0" xfId="1" applyNumberFormat="1" applyAlignment="1">
      <alignment horizontal="center" vertical="center" wrapText="1"/>
    </xf>
    <xf numFmtId="0" fontId="7" fillId="2" borderId="1" xfId="0" applyNumberFormat="1" applyFont="1" applyFill="1" applyBorder="1" applyAlignment="1">
      <alignment horizontal="center" vertical="center" wrapText="1"/>
    </xf>
    <xf numFmtId="0" fontId="7" fillId="6" borderId="1" xfId="0" applyNumberFormat="1" applyFont="1" applyFill="1" applyBorder="1" applyAlignment="1">
      <alignment horizontal="center" vertical="center" wrapText="1"/>
    </xf>
    <xf numFmtId="0" fontId="7" fillId="3" borderId="1" xfId="0" applyNumberFormat="1" applyFont="1" applyFill="1" applyBorder="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3" fillId="0" borderId="2" xfId="0" applyNumberFormat="1" applyFont="1" applyBorder="1" applyAlignment="1">
      <alignment horizontal="center" wrapText="1"/>
    </xf>
    <xf numFmtId="0" fontId="10" fillId="0" borderId="0" xfId="0" applyFont="1"/>
    <xf numFmtId="0" fontId="7" fillId="3" borderId="3" xfId="0" applyNumberFormat="1" applyFont="1" applyFill="1" applyBorder="1" applyAlignment="1">
      <alignment horizontal="center" vertical="center" wrapText="1"/>
    </xf>
    <xf numFmtId="14" fontId="0" fillId="0" borderId="3" xfId="0" applyNumberFormat="1" applyFill="1" applyBorder="1" applyAlignment="1">
      <alignment horizontal="center" vertical="center" wrapText="1"/>
    </xf>
    <xf numFmtId="14" fontId="4" fillId="0" borderId="2" xfId="0" applyNumberFormat="1" applyFont="1" applyBorder="1" applyAlignment="1">
      <alignment horizontal="center" vertical="center" wrapText="1"/>
    </xf>
    <xf numFmtId="14" fontId="10" fillId="2" borderId="1" xfId="0" applyNumberFormat="1" applyFont="1" applyFill="1" applyBorder="1" applyAlignment="1">
      <alignment horizontal="center" vertical="center" wrapText="1"/>
    </xf>
    <xf numFmtId="14" fontId="13" fillId="16" borderId="1" xfId="0" applyNumberFormat="1" applyFont="1" applyFill="1" applyBorder="1" applyAlignment="1">
      <alignment horizontal="center" vertical="center" wrapText="1"/>
    </xf>
    <xf numFmtId="1" fontId="4" fillId="0" borderId="2" xfId="0" applyNumberFormat="1" applyFont="1" applyBorder="1" applyAlignment="1">
      <alignment horizontal="center" vertical="center" wrapText="1"/>
    </xf>
    <xf numFmtId="1" fontId="0" fillId="2" borderId="1" xfId="0" applyNumberFormat="1" applyFill="1" applyBorder="1" applyAlignment="1">
      <alignment horizontal="center" vertical="center" wrapText="1"/>
    </xf>
    <xf numFmtId="1" fontId="0" fillId="6" borderId="1" xfId="0" applyNumberFormat="1" applyFill="1" applyBorder="1" applyAlignment="1">
      <alignment horizontal="center" vertical="center" wrapText="1"/>
    </xf>
    <xf numFmtId="1" fontId="0" fillId="8" borderId="3" xfId="0" applyNumberFormat="1" applyFill="1" applyBorder="1" applyAlignment="1">
      <alignment horizontal="center" vertical="center" wrapText="1"/>
    </xf>
    <xf numFmtId="1" fontId="0" fillId="15" borderId="1" xfId="0" applyNumberFormat="1" applyFill="1" applyBorder="1" applyAlignment="1">
      <alignment horizontal="center" vertical="center" wrapText="1"/>
    </xf>
    <xf numFmtId="1" fontId="0" fillId="3" borderId="1" xfId="0" applyNumberFormat="1" applyFill="1" applyBorder="1" applyAlignment="1">
      <alignment horizontal="center" vertical="center" wrapText="1"/>
    </xf>
    <xf numFmtId="1" fontId="0" fillId="0" borderId="1" xfId="0" applyNumberFormat="1" applyFont="1" applyFill="1" applyBorder="1" applyAlignment="1">
      <alignment horizontal="center" vertical="center" wrapText="1"/>
    </xf>
    <xf numFmtId="14" fontId="7" fillId="2" borderId="1" xfId="0" applyNumberFormat="1" applyFont="1" applyFill="1" applyBorder="1" applyAlignment="1">
      <alignment horizontal="center" vertical="center" wrapText="1"/>
    </xf>
    <xf numFmtId="14" fontId="7" fillId="0" borderId="1" xfId="0" applyNumberFormat="1" applyFont="1" applyFill="1" applyBorder="1" applyAlignment="1">
      <alignment horizontal="center" vertical="center" wrapText="1"/>
    </xf>
    <xf numFmtId="14" fontId="0" fillId="2" borderId="5" xfId="0" applyNumberFormat="1" applyFill="1" applyBorder="1" applyAlignment="1">
      <alignment horizontal="center" vertical="center" wrapText="1"/>
    </xf>
    <xf numFmtId="14" fontId="0" fillId="0" borderId="5" xfId="0" applyNumberFormat="1" applyFill="1" applyBorder="1" applyAlignment="1">
      <alignment horizontal="center" vertical="center" wrapText="1"/>
    </xf>
    <xf numFmtId="14" fontId="0" fillId="15" borderId="5" xfId="0" applyNumberFormat="1" applyFill="1" applyBorder="1" applyAlignment="1">
      <alignment horizontal="center" vertical="center" wrapText="1"/>
    </xf>
    <xf numFmtId="14" fontId="0" fillId="6" borderId="5" xfId="0" applyNumberFormat="1" applyFill="1" applyBorder="1" applyAlignment="1">
      <alignment horizontal="center" vertical="center" wrapText="1"/>
    </xf>
    <xf numFmtId="14" fontId="10" fillId="3" borderId="8" xfId="0" applyNumberFormat="1" applyFont="1" applyFill="1" applyBorder="1" applyAlignment="1">
      <alignment horizontal="center" vertical="center" wrapText="1"/>
    </xf>
    <xf numFmtId="14" fontId="10" fillId="3" borderId="9" xfId="0" applyNumberFormat="1" applyFont="1" applyFill="1" applyBorder="1" applyAlignment="1">
      <alignment horizontal="center" vertical="center" wrapText="1"/>
    </xf>
    <xf numFmtId="14" fontId="0" fillId="8" borderId="5" xfId="0" applyNumberFormat="1" applyFill="1" applyBorder="1" applyAlignment="1">
      <alignment horizontal="center" vertical="center" wrapText="1"/>
    </xf>
    <xf numFmtId="14" fontId="0" fillId="3" borderId="5" xfId="0" applyNumberFormat="1" applyFill="1" applyBorder="1" applyAlignment="1">
      <alignment horizontal="center" vertical="center" wrapText="1"/>
    </xf>
    <xf numFmtId="14" fontId="3" fillId="0" borderId="1" xfId="0" applyNumberFormat="1" applyFont="1" applyBorder="1" applyAlignment="1">
      <alignment horizontal="center" vertical="center" wrapText="1"/>
    </xf>
    <xf numFmtId="0" fontId="14" fillId="0" borderId="0" xfId="0" applyNumberFormat="1" applyFont="1" applyAlignment="1">
      <alignment horizontal="center" vertical="center" wrapText="1"/>
    </xf>
    <xf numFmtId="49" fontId="3" fillId="0" borderId="7" xfId="0" applyNumberFormat="1" applyFont="1" applyBorder="1" applyAlignment="1">
      <alignment horizontal="center" vertical="center" wrapText="1"/>
    </xf>
    <xf numFmtId="0" fontId="0" fillId="0" borderId="0" xfId="0" applyNumberFormat="1" applyAlignment="1">
      <alignment horizontal="center" vertical="center" wrapText="1"/>
    </xf>
    <xf numFmtId="2" fontId="17" fillId="4" borderId="1" xfId="0" applyNumberFormat="1" applyFont="1" applyFill="1" applyBorder="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14" fontId="10" fillId="3" borderId="1" xfId="0" applyNumberFormat="1" applyFont="1" applyFill="1" applyBorder="1" applyAlignment="1">
      <alignment horizontal="center" vertical="center" wrapText="1"/>
    </xf>
    <xf numFmtId="2" fontId="18" fillId="4" borderId="1" xfId="0" applyNumberFormat="1" applyFont="1" applyFill="1" applyBorder="1" applyAlignment="1">
      <alignment horizontal="center" vertical="center" wrapText="1"/>
    </xf>
    <xf numFmtId="14" fontId="7" fillId="6" borderId="1" xfId="0" applyNumberFormat="1" applyFont="1" applyFill="1" applyBorder="1" applyAlignment="1">
      <alignment horizontal="center" vertical="center" wrapText="1"/>
    </xf>
    <xf numFmtId="14" fontId="7" fillId="3" borderId="1" xfId="0" applyNumberFormat="1" applyFont="1" applyFill="1" applyBorder="1" applyAlignment="1">
      <alignment horizontal="center" vertical="center" wrapText="1"/>
    </xf>
    <xf numFmtId="14" fontId="7" fillId="15" borderId="1" xfId="0" applyNumberFormat="1" applyFont="1" applyFill="1" applyBorder="1" applyAlignment="1">
      <alignment horizontal="center" vertical="center" wrapText="1"/>
    </xf>
    <xf numFmtId="14" fontId="0" fillId="2" borderId="1" xfId="0" applyNumberFormat="1" applyFont="1" applyFill="1" applyBorder="1" applyAlignment="1">
      <alignment horizontal="center" vertical="center" wrapText="1"/>
    </xf>
    <xf numFmtId="14" fontId="0" fillId="6" borderId="1" xfId="0" applyNumberFormat="1" applyFont="1" applyFill="1" applyBorder="1" applyAlignment="1">
      <alignment horizontal="center" vertical="center" wrapText="1"/>
    </xf>
    <xf numFmtId="14" fontId="0" fillId="3" borderId="1" xfId="0" applyNumberFormat="1" applyFont="1" applyFill="1" applyBorder="1" applyAlignment="1">
      <alignment horizontal="center" vertical="center" wrapText="1"/>
    </xf>
    <xf numFmtId="14" fontId="7" fillId="8" borderId="3" xfId="0" applyNumberFormat="1" applyFont="1" applyFill="1" applyBorder="1" applyAlignment="1">
      <alignment horizontal="center" vertical="center" wrapText="1"/>
    </xf>
    <xf numFmtId="0" fontId="0" fillId="0" borderId="0" xfId="0" applyNumberFormat="1" applyAlignment="1">
      <alignment horizontal="center" vertical="center" wrapText="1"/>
    </xf>
    <xf numFmtId="0" fontId="11" fillId="2" borderId="1" xfId="1" applyNumberFormat="1" applyFill="1" applyBorder="1" applyAlignment="1">
      <alignment horizontal="center" vertical="center" wrapText="1"/>
    </xf>
    <xf numFmtId="0" fontId="12" fillId="6" borderId="1" xfId="0" applyNumberFormat="1" applyFont="1" applyFill="1" applyBorder="1" applyAlignment="1">
      <alignment horizontal="center" vertical="center" wrapText="1"/>
    </xf>
    <xf numFmtId="0" fontId="15" fillId="6" borderId="1" xfId="0" applyNumberFormat="1" applyFont="1" applyFill="1" applyBorder="1" applyAlignment="1">
      <alignment horizontal="center" vertical="center" wrapText="1"/>
    </xf>
    <xf numFmtId="0" fontId="7" fillId="0" borderId="0" xfId="0" applyNumberFormat="1" applyFont="1" applyAlignment="1">
      <alignment horizontal="center" vertical="center" wrapText="1"/>
    </xf>
    <xf numFmtId="0" fontId="12" fillId="0" borderId="0" xfId="0" applyNumberFormat="1" applyFont="1" applyAlignment="1">
      <alignment horizontal="center" vertical="center" wrapText="1"/>
    </xf>
    <xf numFmtId="0" fontId="15" fillId="0" borderId="0" xfId="0" applyNumberFormat="1" applyFont="1" applyAlignment="1">
      <alignment horizontal="center" vertical="center" wrapText="1"/>
    </xf>
    <xf numFmtId="0" fontId="0" fillId="0" borderId="0" xfId="0" applyNumberFormat="1" applyAlignment="1">
      <alignment horizontal="center" vertical="center" wrapText="1"/>
    </xf>
    <xf numFmtId="14" fontId="7" fillId="10" borderId="1" xfId="0" applyNumberFormat="1" applyFont="1" applyFill="1" applyBorder="1" applyAlignment="1">
      <alignment horizontal="center" vertical="center" wrapText="1"/>
    </xf>
    <xf numFmtId="14" fontId="15" fillId="10" borderId="1" xfId="0" applyNumberFormat="1" applyFont="1" applyFill="1" applyBorder="1" applyAlignment="1">
      <alignment horizontal="center" vertical="center" wrapText="1"/>
    </xf>
    <xf numFmtId="0" fontId="0" fillId="0" borderId="0" xfId="0" applyNumberFormat="1" applyAlignment="1">
      <alignment horizontal="center" vertical="center" wrapText="1"/>
    </xf>
    <xf numFmtId="0" fontId="16" fillId="0" borderId="0" xfId="0" applyFont="1" applyAlignment="1">
      <alignment horizontal="center" vertical="center" wrapText="1"/>
    </xf>
    <xf numFmtId="14" fontId="15" fillId="2" borderId="1" xfId="0" applyNumberFormat="1" applyFont="1" applyFill="1" applyBorder="1" applyAlignment="1">
      <alignment horizontal="center" vertical="center" wrapText="1"/>
    </xf>
    <xf numFmtId="0" fontId="10" fillId="0" borderId="0" xfId="0" applyFont="1" applyFill="1" applyAlignment="1">
      <alignment horizontal="center" vertical="center"/>
    </xf>
    <xf numFmtId="0" fontId="0" fillId="6" borderId="3" xfId="0" applyNumberFormat="1" applyFill="1" applyBorder="1" applyAlignment="1">
      <alignment horizontal="center" vertical="center" wrapText="1"/>
    </xf>
    <xf numFmtId="14" fontId="0" fillId="6" borderId="3" xfId="0" applyNumberFormat="1" applyFill="1" applyBorder="1" applyAlignment="1">
      <alignment horizontal="center" vertical="center" wrapText="1"/>
    </xf>
    <xf numFmtId="0" fontId="0" fillId="0" borderId="0" xfId="0" applyNumberFormat="1" applyAlignment="1">
      <alignment horizontal="center" vertical="center" wrapText="1"/>
    </xf>
    <xf numFmtId="14" fontId="9" fillId="8" borderId="1" xfId="0" applyNumberFormat="1" applyFont="1" applyFill="1" applyBorder="1" applyAlignment="1">
      <alignment horizontal="center" vertical="center" wrapText="1"/>
    </xf>
    <xf numFmtId="0" fontId="0" fillId="10" borderId="1" xfId="0" applyNumberFormat="1" applyFill="1" applyBorder="1" applyAlignment="1">
      <alignment horizontal="center" vertical="center" wrapText="1"/>
    </xf>
    <xf numFmtId="14" fontId="0" fillId="16" borderId="1" xfId="0" applyNumberFormat="1" applyFill="1" applyBorder="1" applyAlignment="1">
      <alignment horizontal="center" vertical="center" wrapText="1"/>
    </xf>
    <xf numFmtId="2" fontId="17" fillId="0" borderId="1" xfId="0" applyNumberFormat="1" applyFont="1" applyFill="1" applyBorder="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16" fillId="10" borderId="0" xfId="0" applyFont="1" applyFill="1" applyAlignment="1">
      <alignment horizontal="center" vertical="center" wrapText="1"/>
    </xf>
    <xf numFmtId="0" fontId="20" fillId="0" borderId="0" xfId="0" applyNumberFormat="1" applyFont="1" applyAlignment="1">
      <alignment horizontal="center" vertical="center" wrapText="1"/>
    </xf>
    <xf numFmtId="0" fontId="21" fillId="0" borderId="0" xfId="0" applyNumberFormat="1" applyFont="1" applyFill="1" applyAlignment="1">
      <alignment horizontal="center" vertical="center" wrapText="1"/>
    </xf>
    <xf numFmtId="49" fontId="3" fillId="0" borderId="2" xfId="0" applyNumberFormat="1" applyFont="1" applyBorder="1" applyAlignment="1">
      <alignment horizontal="center" vertical="center" wrapText="1"/>
    </xf>
    <xf numFmtId="49" fontId="0" fillId="2" borderId="1" xfId="0" applyNumberFormat="1" applyFill="1" applyBorder="1" applyAlignment="1">
      <alignment horizontal="center" vertical="center" wrapText="1"/>
    </xf>
    <xf numFmtId="49" fontId="7" fillId="2" borderId="1" xfId="0" applyNumberFormat="1" applyFont="1" applyFill="1" applyBorder="1" applyAlignment="1">
      <alignment horizontal="center" vertical="center" wrapText="1"/>
    </xf>
    <xf numFmtId="49" fontId="0" fillId="6" borderId="1" xfId="0" applyNumberFormat="1" applyFill="1" applyBorder="1" applyAlignment="1">
      <alignment horizontal="center" vertical="center" wrapText="1"/>
    </xf>
    <xf numFmtId="49" fontId="0" fillId="3" borderId="3" xfId="0" applyNumberFormat="1" applyFill="1" applyBorder="1" applyAlignment="1">
      <alignment horizontal="center" vertical="center" wrapText="1"/>
    </xf>
    <xf numFmtId="49" fontId="0" fillId="3" borderId="1" xfId="0" applyNumberFormat="1" applyFill="1" applyBorder="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1" fontId="0" fillId="6" borderId="3" xfId="0" applyNumberFormat="1" applyFill="1" applyBorder="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1" xfId="0" applyNumberFormat="1" applyFont="1" applyFill="1" applyBorder="1" applyAlignment="1">
      <alignment horizontal="center" vertical="center" wrapText="1"/>
    </xf>
    <xf numFmtId="0" fontId="0" fillId="0" borderId="1" xfId="0" applyNumberFormat="1" applyFill="1" applyBorder="1" applyAlignment="1">
      <alignment horizontal="center" vertical="center" wrapText="1"/>
    </xf>
    <xf numFmtId="0" fontId="12" fillId="0" borderId="1" xfId="0" applyNumberFormat="1" applyFont="1" applyFill="1" applyBorder="1" applyAlignment="1">
      <alignment horizontal="center" vertical="center" wrapText="1"/>
    </xf>
    <xf numFmtId="49" fontId="0" fillId="0" borderId="1" xfId="0" applyNumberFormat="1" applyFill="1" applyBorder="1" applyAlignment="1">
      <alignment horizontal="center" vertical="center" wrapText="1"/>
    </xf>
    <xf numFmtId="14" fontId="0" fillId="0" borderId="1" xfId="0" applyNumberFormat="1" applyFont="1" applyFill="1" applyBorder="1" applyAlignment="1">
      <alignment horizontal="center" vertical="center" wrapText="1"/>
    </xf>
    <xf numFmtId="14" fontId="9"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4" fontId="13" fillId="0" borderId="1" xfId="0" applyNumberFormat="1" applyFont="1" applyFill="1" applyBorder="1" applyAlignment="1">
      <alignment horizontal="center" vertical="center" wrapText="1"/>
    </xf>
    <xf numFmtId="2" fontId="18" fillId="0" borderId="1" xfId="0" applyNumberFormat="1"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19" borderId="1" xfId="0" applyNumberFormat="1" applyFont="1" applyFill="1" applyBorder="1" applyAlignment="1">
      <alignment horizontal="center" vertical="center" wrapText="1"/>
    </xf>
    <xf numFmtId="0" fontId="0" fillId="19" borderId="1" xfId="0" applyNumberFormat="1" applyFill="1" applyBorder="1" applyAlignment="1">
      <alignment horizontal="center" vertical="center" wrapText="1"/>
    </xf>
    <xf numFmtId="0" fontId="12" fillId="19" borderId="1" xfId="0" applyNumberFormat="1" applyFont="1" applyFill="1" applyBorder="1" applyAlignment="1">
      <alignment horizontal="center" vertical="center" wrapText="1"/>
    </xf>
    <xf numFmtId="49" fontId="0" fillId="19" borderId="1" xfId="0" applyNumberFormat="1" applyFill="1" applyBorder="1" applyAlignment="1">
      <alignment horizontal="center" vertical="center" wrapText="1"/>
    </xf>
    <xf numFmtId="14" fontId="0" fillId="19" borderId="1" xfId="0" applyNumberFormat="1" applyFill="1" applyBorder="1" applyAlignment="1">
      <alignment horizontal="center" vertical="center" wrapText="1"/>
    </xf>
    <xf numFmtId="1" fontId="0" fillId="19" borderId="1" xfId="0" applyNumberFormat="1" applyFill="1" applyBorder="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14" fontId="20" fillId="0" borderId="1" xfId="0" applyNumberFormat="1" applyFont="1" applyFill="1" applyBorder="1" applyAlignment="1">
      <alignment horizontal="center" vertical="center" wrapText="1"/>
    </xf>
    <xf numFmtId="0" fontId="0" fillId="0" borderId="0" xfId="0" applyNumberFormat="1" applyAlignment="1">
      <alignment horizontal="center" vertical="center" wrapText="1"/>
    </xf>
    <xf numFmtId="14" fontId="10" fillId="0" borderId="5" xfId="0" applyNumberFormat="1" applyFont="1" applyFill="1" applyBorder="1" applyAlignment="1">
      <alignment horizontal="center" vertical="center" wrapText="1"/>
    </xf>
    <xf numFmtId="0" fontId="0" fillId="0" borderId="0" xfId="0" applyNumberFormat="1" applyAlignment="1">
      <alignment horizontal="center" vertical="center" wrapText="1"/>
    </xf>
    <xf numFmtId="0" fontId="11" fillId="0" borderId="0" xfId="1" applyAlignment="1">
      <alignment horizontal="center" vertical="center" wrapText="1"/>
    </xf>
    <xf numFmtId="0" fontId="21" fillId="10" borderId="0" xfId="0" applyNumberFormat="1" applyFont="1" applyFill="1" applyAlignment="1">
      <alignment horizontal="center" vertical="center" wrapText="1"/>
    </xf>
    <xf numFmtId="14" fontId="11" fillId="0" borderId="0" xfId="1" applyNumberFormat="1" applyAlignment="1">
      <alignment horizontal="center" vertical="center" wrapText="1"/>
    </xf>
    <xf numFmtId="0" fontId="0" fillId="0" borderId="0" xfId="0" applyNumberFormat="1" applyAlignment="1">
      <alignment horizontal="center" vertical="center" wrapText="1"/>
    </xf>
    <xf numFmtId="0" fontId="11" fillId="0" borderId="0" xfId="1" applyNumberFormat="1" applyFill="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20" fillId="0" borderId="0" xfId="0" applyNumberFormat="1" applyFont="1" applyFill="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14" fontId="22" fillId="0" borderId="1" xfId="0" applyNumberFormat="1" applyFont="1" applyFill="1" applyBorder="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2" borderId="3" xfId="0" applyNumberFormat="1" applyFill="1" applyBorder="1" applyAlignment="1">
      <alignment horizontal="center" vertical="center" wrapText="1"/>
    </xf>
    <xf numFmtId="14" fontId="0" fillId="2" borderId="3" xfId="0" applyNumberFormat="1" applyFill="1" applyBorder="1" applyAlignment="1">
      <alignment horizontal="center" vertical="center" wrapText="1"/>
    </xf>
    <xf numFmtId="0" fontId="0" fillId="0" borderId="0" xfId="0" applyNumberFormat="1" applyAlignment="1">
      <alignment horizontal="center" vertical="center" wrapText="1"/>
    </xf>
    <xf numFmtId="14" fontId="20" fillId="0" borderId="3" xfId="0" applyNumberFormat="1" applyFont="1" applyFill="1" applyBorder="1" applyAlignment="1">
      <alignment horizontal="center" vertical="center" wrapText="1"/>
    </xf>
    <xf numFmtId="14" fontId="0" fillId="0" borderId="6" xfId="0" applyNumberFormat="1" applyFill="1" applyBorder="1" applyAlignment="1">
      <alignment horizontal="center" vertical="center" wrapText="1"/>
    </xf>
    <xf numFmtId="2" fontId="17" fillId="9" borderId="1" xfId="0" applyNumberFormat="1" applyFont="1" applyFill="1" applyBorder="1" applyAlignment="1">
      <alignment horizontal="center" vertical="center" wrapText="1"/>
    </xf>
    <xf numFmtId="2" fontId="18" fillId="9" borderId="1" xfId="0" applyNumberFormat="1" applyFont="1" applyFill="1" applyBorder="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10" fillId="0" borderId="0" xfId="0" applyFont="1" applyAlignment="1">
      <alignment horizontal="center"/>
    </xf>
    <xf numFmtId="0" fontId="0" fillId="0" borderId="0" xfId="0" applyNumberFormat="1" applyAlignment="1">
      <alignment horizontal="center" vertical="center" wrapText="1"/>
    </xf>
    <xf numFmtId="0" fontId="0" fillId="0" borderId="0" xfId="0" applyAlignment="1">
      <alignment horizontal="center" vertical="center"/>
    </xf>
    <xf numFmtId="0" fontId="0" fillId="0" borderId="0" xfId="0" applyNumberFormat="1" applyAlignment="1">
      <alignment horizontal="center" vertical="center" wrapText="1"/>
    </xf>
    <xf numFmtId="14" fontId="10" fillId="2" borderId="3" xfId="0" applyNumberFormat="1" applyFont="1" applyFill="1" applyBorder="1" applyAlignment="1">
      <alignment horizontal="center" vertical="center" wrapText="1"/>
    </xf>
    <xf numFmtId="1" fontId="0" fillId="2" borderId="3" xfId="0" applyNumberFormat="1" applyFill="1" applyBorder="1" applyAlignment="1">
      <alignment horizontal="center" vertical="center" wrapText="1"/>
    </xf>
    <xf numFmtId="14" fontId="0" fillId="0" borderId="3" xfId="0" applyNumberFormat="1" applyFont="1" applyFill="1" applyBorder="1" applyAlignment="1">
      <alignment horizontal="center" vertical="center" wrapText="1"/>
    </xf>
    <xf numFmtId="0" fontId="0" fillId="0" borderId="0" xfId="0" applyNumberFormat="1" applyAlignment="1">
      <alignment horizontal="center" vertical="center" wrapText="1"/>
    </xf>
    <xf numFmtId="0" fontId="0" fillId="20" borderId="0" xfId="0" applyNumberFormat="1" applyFill="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9" fillId="0" borderId="0" xfId="0" applyFont="1" applyFill="1" applyAlignment="1">
      <alignment horizontal="center" vertical="center"/>
    </xf>
    <xf numFmtId="14" fontId="10" fillId="0" borderId="3" xfId="0" applyNumberFormat="1" applyFont="1" applyFill="1" applyBorder="1" applyAlignment="1">
      <alignment horizontal="center" vertical="center" wrapText="1"/>
    </xf>
    <xf numFmtId="14" fontId="1" fillId="0" borderId="1" xfId="0" applyNumberFormat="1" applyFont="1" applyFill="1" applyBorder="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10" fillId="0" borderId="0" xfId="0" applyFont="1" applyAlignment="1">
      <alignment horizontal="center" vertical="center"/>
    </xf>
    <xf numFmtId="0" fontId="0" fillId="0" borderId="0" xfId="0" applyNumberFormat="1" applyAlignment="1">
      <alignment horizontal="center" vertical="center" wrapText="1"/>
    </xf>
    <xf numFmtId="0" fontId="10" fillId="0" borderId="0" xfId="0" applyFont="1" applyAlignment="1">
      <alignment horizontal="center" vertical="center"/>
    </xf>
    <xf numFmtId="0" fontId="0" fillId="0" borderId="0" xfId="0" applyNumberFormat="1" applyAlignment="1">
      <alignment horizontal="center" vertical="center" wrapText="1"/>
    </xf>
    <xf numFmtId="0" fontId="10" fillId="0" borderId="0" xfId="0" applyFont="1" applyAlignment="1">
      <alignment horizontal="center" vertical="center"/>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20" fillId="0" borderId="0" xfId="0" applyFont="1"/>
    <xf numFmtId="0" fontId="0" fillId="0" borderId="0" xfId="0" applyNumberFormat="1" applyAlignment="1">
      <alignment horizontal="center" vertical="center" wrapText="1"/>
    </xf>
    <xf numFmtId="0" fontId="10" fillId="0" borderId="0" xfId="0" applyFont="1" applyFill="1" applyAlignment="1">
      <alignment horizontal="center"/>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0" fillId="0" borderId="0" xfId="0" applyNumberFormat="1" applyAlignment="1">
      <alignment horizontal="center" vertical="center" wrapText="1"/>
    </xf>
    <xf numFmtId="0" fontId="32" fillId="0" borderId="0" xfId="0" applyNumberFormat="1" applyFont="1" applyAlignment="1">
      <alignment horizontal="center" vertical="center" wrapText="1"/>
    </xf>
    <xf numFmtId="0" fontId="33" fillId="0" borderId="0" xfId="0" applyNumberFormat="1" applyFont="1" applyAlignment="1">
      <alignment horizontal="center" vertical="center" wrapText="1"/>
    </xf>
    <xf numFmtId="49" fontId="33" fillId="0" borderId="0" xfId="0" applyNumberFormat="1" applyFont="1" applyAlignment="1">
      <alignment horizontal="center" vertical="center" wrapText="1"/>
    </xf>
    <xf numFmtId="14" fontId="33" fillId="0" borderId="0" xfId="0" applyNumberFormat="1" applyFont="1" applyAlignment="1">
      <alignment horizontal="center" vertical="center" wrapText="1"/>
    </xf>
    <xf numFmtId="14" fontId="33" fillId="0" borderId="0" xfId="0" applyNumberFormat="1" applyFont="1" applyFill="1" applyAlignment="1">
      <alignment horizontal="center" vertical="center" wrapText="1"/>
    </xf>
    <xf numFmtId="14" fontId="33" fillId="0" borderId="0" xfId="0" applyNumberFormat="1" applyFont="1" applyFill="1" applyAlignment="1">
      <alignment horizontal="center" wrapText="1"/>
    </xf>
    <xf numFmtId="1" fontId="33" fillId="0" borderId="0" xfId="0" applyNumberFormat="1" applyFont="1" applyFill="1" applyAlignment="1">
      <alignment horizontal="center" wrapText="1"/>
    </xf>
    <xf numFmtId="0" fontId="33" fillId="0" borderId="0" xfId="0" applyNumberFormat="1" applyFont="1" applyAlignment="1">
      <alignment horizontal="center" wrapText="1"/>
    </xf>
    <xf numFmtId="0" fontId="32" fillId="0" borderId="2" xfId="0" applyNumberFormat="1" applyFont="1" applyBorder="1" applyAlignment="1">
      <alignment horizontal="center" vertical="center" wrapText="1"/>
    </xf>
    <xf numFmtId="49" fontId="32" fillId="0" borderId="2" xfId="0" applyNumberFormat="1" applyFont="1" applyBorder="1" applyAlignment="1">
      <alignment horizontal="center" vertical="center" wrapText="1"/>
    </xf>
    <xf numFmtId="14" fontId="32" fillId="0" borderId="1" xfId="0" applyNumberFormat="1" applyFont="1" applyFill="1" applyBorder="1" applyAlignment="1">
      <alignment horizontal="center" vertical="center" wrapText="1"/>
    </xf>
    <xf numFmtId="1" fontId="32" fillId="0" borderId="0" xfId="0" applyNumberFormat="1" applyFont="1" applyFill="1" applyBorder="1" applyAlignment="1">
      <alignment horizontal="center" vertical="center" wrapText="1"/>
    </xf>
    <xf numFmtId="0" fontId="32" fillId="0" borderId="0" xfId="0" applyNumberFormat="1" applyFont="1" applyAlignment="1">
      <alignment horizontal="center" wrapText="1"/>
    </xf>
    <xf numFmtId="0" fontId="37" fillId="0" borderId="0" xfId="0" applyNumberFormat="1" applyFont="1" applyAlignment="1">
      <alignment horizontal="center" vertical="center" wrapText="1"/>
    </xf>
    <xf numFmtId="0" fontId="33" fillId="19" borderId="1" xfId="0" applyNumberFormat="1" applyFont="1" applyFill="1" applyBorder="1" applyAlignment="1">
      <alignment horizontal="center" vertical="center" wrapText="1"/>
    </xf>
    <xf numFmtId="0" fontId="38" fillId="19" borderId="1" xfId="0" applyNumberFormat="1" applyFont="1" applyFill="1" applyBorder="1" applyAlignment="1">
      <alignment horizontal="center" vertical="center" wrapText="1"/>
    </xf>
    <xf numFmtId="49" fontId="33" fillId="19" borderId="1" xfId="0" applyNumberFormat="1" applyFont="1" applyFill="1" applyBorder="1" applyAlignment="1">
      <alignment horizontal="center" vertical="center" wrapText="1"/>
    </xf>
    <xf numFmtId="2" fontId="40" fillId="0" borderId="1" xfId="0" applyNumberFormat="1" applyFont="1" applyFill="1" applyBorder="1" applyAlignment="1">
      <alignment horizontal="center" vertical="center" wrapText="1"/>
    </xf>
    <xf numFmtId="1" fontId="33" fillId="0" borderId="1" xfId="0" applyNumberFormat="1" applyFont="1" applyFill="1" applyBorder="1" applyAlignment="1">
      <alignment horizontal="center" vertical="center" wrapText="1"/>
    </xf>
    <xf numFmtId="0" fontId="33" fillId="0" borderId="0" xfId="0" applyNumberFormat="1" applyFont="1" applyFill="1" applyAlignment="1">
      <alignment horizontal="center" vertical="center" wrapText="1"/>
    </xf>
    <xf numFmtId="14" fontId="34" fillId="0" borderId="0" xfId="0" applyNumberFormat="1" applyFont="1" applyAlignment="1">
      <alignment horizontal="center" vertical="center" wrapText="1"/>
    </xf>
    <xf numFmtId="0" fontId="34" fillId="0" borderId="0" xfId="0" applyNumberFormat="1" applyFont="1" applyAlignment="1">
      <alignment horizontal="center" wrapText="1"/>
    </xf>
    <xf numFmtId="0" fontId="42" fillId="0" borderId="0" xfId="1" applyNumberFormat="1" applyFont="1" applyAlignment="1">
      <alignment horizontal="center" vertical="center" wrapText="1"/>
    </xf>
    <xf numFmtId="0" fontId="41" fillId="0" borderId="0" xfId="0" applyNumberFormat="1" applyFont="1" applyFill="1" applyAlignment="1">
      <alignment horizontal="center" vertical="center" wrapText="1"/>
    </xf>
    <xf numFmtId="0" fontId="42" fillId="0" borderId="0" xfId="1" applyFont="1" applyAlignment="1">
      <alignment horizontal="center" vertical="center"/>
    </xf>
    <xf numFmtId="0" fontId="33" fillId="20" borderId="1" xfId="0" applyNumberFormat="1" applyFont="1" applyFill="1" applyBorder="1" applyAlignment="1">
      <alignment horizontal="center" vertical="center" wrapText="1"/>
    </xf>
    <xf numFmtId="0" fontId="33" fillId="20" borderId="3" xfId="0" applyNumberFormat="1" applyFont="1" applyFill="1" applyBorder="1" applyAlignment="1">
      <alignment horizontal="center" vertical="center" wrapText="1"/>
    </xf>
    <xf numFmtId="0" fontId="42" fillId="20" borderId="1" xfId="1" applyNumberFormat="1" applyFont="1" applyFill="1" applyBorder="1" applyAlignment="1">
      <alignment horizontal="center" vertical="center" wrapText="1"/>
    </xf>
    <xf numFmtId="0" fontId="38" fillId="20" borderId="1" xfId="0" applyNumberFormat="1" applyFont="1" applyFill="1" applyBorder="1" applyAlignment="1">
      <alignment horizontal="center" vertical="center" wrapText="1"/>
    </xf>
    <xf numFmtId="0" fontId="41" fillId="20" borderId="3" xfId="0" applyNumberFormat="1" applyFont="1" applyFill="1" applyBorder="1" applyAlignment="1">
      <alignment horizontal="center" vertical="center" wrapText="1"/>
    </xf>
    <xf numFmtId="49" fontId="33" fillId="20" borderId="3" xfId="0" applyNumberFormat="1" applyFont="1" applyFill="1" applyBorder="1" applyAlignment="1">
      <alignment horizontal="center" vertical="center" wrapText="1"/>
    </xf>
    <xf numFmtId="1" fontId="33" fillId="0" borderId="3" xfId="0" applyNumberFormat="1" applyFont="1" applyFill="1" applyBorder="1" applyAlignment="1">
      <alignment horizontal="center" vertical="center" wrapText="1"/>
    </xf>
    <xf numFmtId="0" fontId="33" fillId="0" borderId="1" xfId="0" applyNumberFormat="1" applyFont="1" applyFill="1" applyBorder="1" applyAlignment="1">
      <alignment horizontal="center" vertical="center" wrapText="1"/>
    </xf>
    <xf numFmtId="0" fontId="33" fillId="0" borderId="3" xfId="0" applyNumberFormat="1" applyFont="1" applyBorder="1" applyAlignment="1">
      <alignment horizontal="center" vertical="center" wrapText="1"/>
    </xf>
    <xf numFmtId="0" fontId="33" fillId="0" borderId="1" xfId="0" applyNumberFormat="1" applyFont="1" applyBorder="1" applyAlignment="1">
      <alignment horizontal="center" vertical="center" wrapText="1"/>
    </xf>
    <xf numFmtId="0" fontId="42" fillId="0" borderId="1" xfId="1" applyNumberFormat="1" applyFont="1" applyBorder="1" applyAlignment="1">
      <alignment horizontal="center" vertical="center" wrapText="1"/>
    </xf>
    <xf numFmtId="0" fontId="38" fillId="0" borderId="1" xfId="0" applyNumberFormat="1" applyFont="1" applyBorder="1" applyAlignment="1">
      <alignment horizontal="center" vertical="center" wrapText="1"/>
    </xf>
    <xf numFmtId="0" fontId="41" fillId="0" borderId="3" xfId="0" applyNumberFormat="1" applyFont="1" applyBorder="1" applyAlignment="1">
      <alignment horizontal="center" vertical="center" wrapText="1"/>
    </xf>
    <xf numFmtId="49" fontId="33" fillId="0" borderId="3" xfId="0" applyNumberFormat="1" applyFont="1" applyBorder="1" applyAlignment="1">
      <alignment horizontal="center" vertical="center" wrapText="1"/>
    </xf>
    <xf numFmtId="49" fontId="33" fillId="0" borderId="1" xfId="0" applyNumberFormat="1" applyFont="1" applyBorder="1" applyAlignment="1">
      <alignment horizontal="center" vertical="center" wrapText="1"/>
    </xf>
    <xf numFmtId="0" fontId="33" fillId="14" borderId="1" xfId="0" applyNumberFormat="1" applyFont="1" applyFill="1" applyBorder="1" applyAlignment="1">
      <alignment horizontal="center" vertical="center" wrapText="1"/>
    </xf>
    <xf numFmtId="0" fontId="33" fillId="10" borderId="1" xfId="0" applyNumberFormat="1" applyFont="1" applyFill="1" applyBorder="1" applyAlignment="1">
      <alignment horizontal="center" vertical="center" wrapText="1"/>
    </xf>
    <xf numFmtId="49" fontId="33" fillId="20" borderId="1" xfId="0" applyNumberFormat="1" applyFont="1" applyFill="1" applyBorder="1" applyAlignment="1">
      <alignment horizontal="center" vertical="center" wrapText="1"/>
    </xf>
    <xf numFmtId="0" fontId="43" fillId="10" borderId="0" xfId="0" applyNumberFormat="1" applyFont="1" applyFill="1" applyAlignment="1">
      <alignment horizontal="center" vertical="center" wrapText="1"/>
    </xf>
    <xf numFmtId="0" fontId="44" fillId="10" borderId="0" xfId="0" applyNumberFormat="1" applyFont="1" applyFill="1" applyAlignment="1">
      <alignment horizontal="center" vertical="center" wrapText="1"/>
    </xf>
    <xf numFmtId="0" fontId="42" fillId="0" borderId="0" xfId="1" applyFont="1" applyAlignment="1">
      <alignment horizontal="center" vertical="center" wrapText="1"/>
    </xf>
    <xf numFmtId="0" fontId="33" fillId="17" borderId="3" xfId="0" applyNumberFormat="1" applyFont="1" applyFill="1" applyBorder="1" applyAlignment="1">
      <alignment horizontal="center" vertical="center" wrapText="1"/>
    </xf>
    <xf numFmtId="0" fontId="38" fillId="17" borderId="3" xfId="0" applyNumberFormat="1" applyFont="1" applyFill="1" applyBorder="1" applyAlignment="1">
      <alignment horizontal="center" vertical="center" wrapText="1"/>
    </xf>
    <xf numFmtId="0" fontId="42" fillId="17" borderId="3" xfId="1" applyNumberFormat="1" applyFont="1" applyFill="1" applyBorder="1" applyAlignment="1">
      <alignment horizontal="center" vertical="center" wrapText="1"/>
    </xf>
    <xf numFmtId="0" fontId="38" fillId="17" borderId="1" xfId="0" applyNumberFormat="1" applyFont="1" applyFill="1" applyBorder="1" applyAlignment="1">
      <alignment horizontal="center" vertical="center" wrapText="1"/>
    </xf>
    <xf numFmtId="0" fontId="41" fillId="17" borderId="3" xfId="0" applyNumberFormat="1" applyFont="1" applyFill="1" applyBorder="1" applyAlignment="1">
      <alignment horizontal="center" vertical="center" wrapText="1"/>
    </xf>
    <xf numFmtId="0" fontId="33" fillId="17" borderId="1" xfId="0" applyNumberFormat="1" applyFont="1" applyFill="1" applyBorder="1" applyAlignment="1">
      <alignment horizontal="center" vertical="center" wrapText="1"/>
    </xf>
    <xf numFmtId="49" fontId="33" fillId="17" borderId="3" xfId="0" applyNumberFormat="1" applyFont="1" applyFill="1" applyBorder="1" applyAlignment="1">
      <alignment horizontal="center" vertical="center" wrapText="1"/>
    </xf>
    <xf numFmtId="0" fontId="45" fillId="0" borderId="0" xfId="0" applyFont="1" applyAlignment="1">
      <alignment horizontal="center" vertical="center" wrapText="1"/>
    </xf>
    <xf numFmtId="0" fontId="44" fillId="0" borderId="0" xfId="0" applyFont="1" applyAlignment="1">
      <alignment horizontal="center" vertical="center" wrapText="1"/>
    </xf>
    <xf numFmtId="49" fontId="33" fillId="5" borderId="1" xfId="0" applyNumberFormat="1" applyFont="1" applyFill="1" applyBorder="1" applyAlignment="1">
      <alignment horizontal="center" vertical="center" wrapText="1"/>
    </xf>
    <xf numFmtId="49" fontId="41" fillId="5" borderId="1" xfId="0" applyNumberFormat="1" applyFont="1" applyFill="1" applyBorder="1" applyAlignment="1">
      <alignment horizontal="center" vertical="center" wrapText="1"/>
    </xf>
    <xf numFmtId="0" fontId="33" fillId="5" borderId="1" xfId="0" applyNumberFormat="1" applyFont="1" applyFill="1" applyBorder="1" applyAlignment="1">
      <alignment horizontal="center" vertical="center" wrapText="1"/>
    </xf>
    <xf numFmtId="0" fontId="41" fillId="0" borderId="0" xfId="0" applyFont="1" applyAlignment="1">
      <alignment horizontal="center" vertical="center" wrapText="1"/>
    </xf>
    <xf numFmtId="49" fontId="33" fillId="10" borderId="1" xfId="0" applyNumberFormat="1" applyFont="1" applyFill="1" applyBorder="1" applyAlignment="1">
      <alignment horizontal="center" vertical="center" wrapText="1"/>
    </xf>
    <xf numFmtId="49" fontId="33" fillId="7" borderId="1" xfId="0" applyNumberFormat="1" applyFont="1" applyFill="1" applyBorder="1" applyAlignment="1">
      <alignment horizontal="center" vertical="center" wrapText="1"/>
    </xf>
    <xf numFmtId="49" fontId="41" fillId="7" borderId="1" xfId="0" applyNumberFormat="1" applyFont="1" applyFill="1" applyBorder="1" applyAlignment="1">
      <alignment horizontal="center" vertical="center" wrapText="1"/>
    </xf>
    <xf numFmtId="0" fontId="33" fillId="7" borderId="1" xfId="0" applyNumberFormat="1" applyFont="1" applyFill="1" applyBorder="1" applyAlignment="1">
      <alignment horizontal="center" vertical="center" wrapText="1"/>
    </xf>
    <xf numFmtId="49" fontId="41" fillId="19" borderId="1" xfId="0" applyNumberFormat="1" applyFont="1" applyFill="1" applyBorder="1" applyAlignment="1">
      <alignment horizontal="center" vertical="center" wrapText="1"/>
    </xf>
    <xf numFmtId="0" fontId="33" fillId="4" borderId="1" xfId="0" applyNumberFormat="1" applyFont="1" applyFill="1" applyBorder="1" applyAlignment="1">
      <alignment horizontal="center" vertical="center" wrapText="1"/>
    </xf>
    <xf numFmtId="0" fontId="38" fillId="4" borderId="1" xfId="0" applyNumberFormat="1" applyFont="1" applyFill="1" applyBorder="1" applyAlignment="1">
      <alignment horizontal="center" vertical="center" wrapText="1"/>
    </xf>
    <xf numFmtId="49" fontId="33" fillId="4" borderId="1" xfId="0" applyNumberFormat="1" applyFont="1" applyFill="1" applyBorder="1" applyAlignment="1">
      <alignment horizontal="center" vertical="center" wrapText="1"/>
    </xf>
    <xf numFmtId="0" fontId="33" fillId="0" borderId="0" xfId="0" applyNumberFormat="1" applyFont="1" applyFill="1" applyBorder="1" applyAlignment="1">
      <alignment horizontal="center" vertical="center" wrapText="1"/>
    </xf>
    <xf numFmtId="2" fontId="40" fillId="0" borderId="2" xfId="0" applyNumberFormat="1" applyFont="1" applyFill="1" applyBorder="1" applyAlignment="1">
      <alignment horizontal="center" vertical="center" wrapText="1"/>
    </xf>
    <xf numFmtId="49" fontId="33" fillId="12" borderId="1" xfId="0" applyNumberFormat="1" applyFont="1" applyFill="1" applyBorder="1" applyAlignment="1">
      <alignment horizontal="center" vertical="center" wrapText="1"/>
    </xf>
    <xf numFmtId="14" fontId="33" fillId="12" borderId="1" xfId="0" applyNumberFormat="1" applyFont="1" applyFill="1" applyBorder="1" applyAlignment="1">
      <alignment horizontal="center" vertical="center" wrapText="1"/>
    </xf>
    <xf numFmtId="0" fontId="44" fillId="0" borderId="0" xfId="0" applyNumberFormat="1" applyFont="1" applyAlignment="1">
      <alignment horizontal="center" vertical="center" wrapText="1"/>
    </xf>
    <xf numFmtId="0" fontId="42" fillId="10" borderId="0" xfId="1" applyNumberFormat="1" applyFont="1" applyFill="1" applyAlignment="1">
      <alignment horizontal="center" vertical="center" wrapText="1"/>
    </xf>
    <xf numFmtId="49" fontId="33" fillId="12" borderId="0" xfId="0" applyNumberFormat="1" applyFont="1" applyFill="1" applyBorder="1" applyAlignment="1">
      <alignment horizontal="center" vertical="center" wrapText="1"/>
    </xf>
    <xf numFmtId="14" fontId="33" fillId="12" borderId="0" xfId="0" applyNumberFormat="1" applyFont="1" applyFill="1" applyBorder="1" applyAlignment="1">
      <alignment horizontal="center" vertical="center" wrapText="1"/>
    </xf>
    <xf numFmtId="49" fontId="33" fillId="18" borderId="1" xfId="0" applyNumberFormat="1" applyFont="1" applyFill="1" applyBorder="1" applyAlignment="1">
      <alignment horizontal="center" vertical="center" wrapText="1"/>
    </xf>
    <xf numFmtId="49" fontId="42" fillId="18" borderId="1" xfId="1" applyNumberFormat="1" applyFont="1" applyFill="1" applyBorder="1" applyAlignment="1">
      <alignment horizontal="center" vertical="center" wrapText="1"/>
    </xf>
    <xf numFmtId="49" fontId="33" fillId="18" borderId="2" xfId="0" applyNumberFormat="1" applyFont="1" applyFill="1" applyBorder="1" applyAlignment="1">
      <alignment horizontal="center" vertical="center" wrapText="1"/>
    </xf>
    <xf numFmtId="0" fontId="46" fillId="0" borderId="0" xfId="0" applyNumberFormat="1" applyFont="1" applyFill="1" applyAlignment="1">
      <alignment horizontal="center" vertical="center" wrapText="1"/>
    </xf>
    <xf numFmtId="0" fontId="42" fillId="20" borderId="0" xfId="1" applyNumberFormat="1" applyFont="1" applyFill="1" applyAlignment="1">
      <alignment horizontal="center" vertical="center" wrapText="1"/>
    </xf>
    <xf numFmtId="1" fontId="33" fillId="0" borderId="2" xfId="0" applyNumberFormat="1" applyFont="1" applyFill="1" applyBorder="1" applyAlignment="1">
      <alignment horizontal="center" vertical="center" wrapText="1"/>
    </xf>
    <xf numFmtId="0" fontId="42" fillId="0" borderId="0" xfId="1" applyNumberFormat="1" applyFont="1" applyFill="1" applyBorder="1" applyAlignment="1">
      <alignment horizontal="center" vertical="center" wrapText="1"/>
    </xf>
    <xf numFmtId="14" fontId="33" fillId="0" borderId="0" xfId="0" applyNumberFormat="1" applyFont="1" applyFill="1" applyBorder="1" applyAlignment="1">
      <alignment horizontal="center" vertical="center" wrapText="1"/>
    </xf>
    <xf numFmtId="0" fontId="33" fillId="0" borderId="0" xfId="0" applyNumberFormat="1" applyFont="1" applyFill="1" applyBorder="1" applyAlignment="1">
      <alignment horizontal="center" wrapText="1"/>
    </xf>
    <xf numFmtId="1" fontId="33" fillId="0" borderId="7" xfId="0" applyNumberFormat="1" applyFont="1" applyFill="1" applyBorder="1" applyAlignment="1">
      <alignment horizontal="center" vertical="center" wrapText="1"/>
    </xf>
    <xf numFmtId="0" fontId="33" fillId="0" borderId="0" xfId="0" applyNumberFormat="1" applyFont="1" applyBorder="1" applyAlignment="1">
      <alignment horizontal="center" vertical="center" wrapText="1"/>
    </xf>
    <xf numFmtId="49" fontId="33" fillId="6" borderId="3" xfId="0" applyNumberFormat="1" applyFont="1" applyFill="1" applyBorder="1" applyAlignment="1">
      <alignment horizontal="center" vertical="center" wrapText="1"/>
    </xf>
    <xf numFmtId="49" fontId="33" fillId="6" borderId="10" xfId="0" applyNumberFormat="1" applyFont="1" applyFill="1" applyBorder="1" applyAlignment="1">
      <alignment horizontal="center" vertical="center" wrapText="1"/>
    </xf>
    <xf numFmtId="49" fontId="42" fillId="6" borderId="10" xfId="1" applyNumberFormat="1" applyFont="1" applyFill="1" applyBorder="1" applyAlignment="1">
      <alignment horizontal="center" vertical="center" wrapText="1"/>
    </xf>
    <xf numFmtId="49" fontId="33" fillId="6" borderId="0" xfId="0" applyNumberFormat="1" applyFont="1" applyFill="1" applyAlignment="1">
      <alignment horizontal="center" vertical="center" wrapText="1"/>
    </xf>
    <xf numFmtId="2" fontId="40" fillId="0" borderId="10" xfId="0" applyNumberFormat="1" applyFont="1" applyFill="1" applyBorder="1" applyAlignment="1">
      <alignment horizontal="center" vertical="center" wrapText="1"/>
    </xf>
    <xf numFmtId="49" fontId="33" fillId="6" borderId="1" xfId="0" applyNumberFormat="1" applyFont="1" applyFill="1" applyBorder="1" applyAlignment="1">
      <alignment horizontal="center" vertical="center" wrapText="1"/>
    </xf>
    <xf numFmtId="49" fontId="33" fillId="6" borderId="2" xfId="0" applyNumberFormat="1" applyFont="1" applyFill="1" applyBorder="1" applyAlignment="1">
      <alignment horizontal="center" vertical="center" wrapText="1"/>
    </xf>
    <xf numFmtId="49" fontId="42" fillId="6" borderId="2" xfId="1" applyNumberFormat="1" applyFont="1" applyFill="1" applyBorder="1" applyAlignment="1">
      <alignment horizontal="center" vertical="center" wrapText="1"/>
    </xf>
    <xf numFmtId="49" fontId="33" fillId="0" borderId="2" xfId="0" applyNumberFormat="1" applyFont="1" applyBorder="1" applyAlignment="1">
      <alignment horizontal="center" vertical="center" wrapText="1"/>
    </xf>
    <xf numFmtId="49" fontId="33" fillId="0" borderId="2" xfId="0" applyNumberFormat="1" applyFont="1" applyFill="1" applyBorder="1" applyAlignment="1">
      <alignment horizontal="center" vertical="center" wrapText="1"/>
    </xf>
    <xf numFmtId="49" fontId="42" fillId="0" borderId="2" xfId="1" applyNumberFormat="1" applyFont="1" applyFill="1" applyBorder="1" applyAlignment="1">
      <alignment horizontal="center" vertical="center" wrapText="1"/>
    </xf>
    <xf numFmtId="49" fontId="33" fillId="0" borderId="0" xfId="0" applyNumberFormat="1" applyFont="1" applyFill="1" applyAlignment="1">
      <alignment horizontal="center" vertical="center" wrapText="1"/>
    </xf>
    <xf numFmtId="0" fontId="41" fillId="0" borderId="1" xfId="0" applyNumberFormat="1" applyFont="1" applyFill="1" applyBorder="1" applyAlignment="1">
      <alignment horizontal="center" vertical="center" wrapText="1"/>
    </xf>
    <xf numFmtId="0" fontId="48" fillId="0" borderId="0" xfId="0" applyNumberFormat="1" applyFont="1" applyFill="1" applyAlignment="1">
      <alignment horizontal="center" vertical="center" wrapText="1"/>
    </xf>
    <xf numFmtId="49" fontId="32" fillId="4" borderId="1" xfId="0" applyNumberFormat="1" applyFont="1" applyFill="1" applyBorder="1" applyAlignment="1">
      <alignment horizontal="center" vertical="center" wrapText="1"/>
    </xf>
    <xf numFmtId="49" fontId="32" fillId="7" borderId="2" xfId="0" applyNumberFormat="1" applyFont="1" applyFill="1" applyBorder="1" applyAlignment="1">
      <alignment horizontal="center" vertical="center" wrapText="1"/>
    </xf>
    <xf numFmtId="49" fontId="33" fillId="7" borderId="2" xfId="0" applyNumberFormat="1" applyFont="1" applyFill="1" applyBorder="1" applyAlignment="1">
      <alignment horizontal="center" vertical="center" wrapText="1"/>
    </xf>
    <xf numFmtId="49" fontId="42" fillId="7" borderId="2" xfId="1" applyNumberFormat="1" applyFont="1" applyFill="1" applyBorder="1" applyAlignment="1">
      <alignment horizontal="center" vertical="center" wrapText="1"/>
    </xf>
    <xf numFmtId="49" fontId="32" fillId="11" borderId="2" xfId="0" applyNumberFormat="1" applyFont="1" applyFill="1" applyBorder="1" applyAlignment="1">
      <alignment horizontal="center" vertical="center" wrapText="1"/>
    </xf>
    <xf numFmtId="49" fontId="33" fillId="11" borderId="2" xfId="0" applyNumberFormat="1" applyFont="1" applyFill="1" applyBorder="1" applyAlignment="1">
      <alignment horizontal="center" vertical="center" wrapText="1"/>
    </xf>
    <xf numFmtId="0" fontId="42" fillId="0" borderId="0" xfId="1" applyNumberFormat="1" applyFont="1" applyAlignment="1">
      <alignment horizontal="center" wrapText="1"/>
    </xf>
    <xf numFmtId="49" fontId="32" fillId="21" borderId="1" xfId="0" applyNumberFormat="1" applyFont="1" applyFill="1" applyBorder="1" applyAlignment="1">
      <alignment horizontal="center" vertical="center" wrapText="1"/>
    </xf>
    <xf numFmtId="49" fontId="33" fillId="21" borderId="1" xfId="0" applyNumberFormat="1" applyFont="1" applyFill="1" applyBorder="1" applyAlignment="1">
      <alignment horizontal="center" vertical="center" wrapText="1"/>
    </xf>
    <xf numFmtId="49" fontId="41" fillId="21" borderId="1" xfId="0" applyNumberFormat="1" applyFont="1" applyFill="1" applyBorder="1" applyAlignment="1">
      <alignment horizontal="center" vertical="center" wrapText="1"/>
    </xf>
    <xf numFmtId="49" fontId="33" fillId="0" borderId="0" xfId="0" applyNumberFormat="1" applyFont="1" applyBorder="1" applyAlignment="1">
      <alignment horizontal="center" vertical="center" wrapText="1"/>
    </xf>
    <xf numFmtId="49" fontId="33" fillId="20" borderId="2" xfId="0" applyNumberFormat="1" applyFont="1" applyFill="1" applyBorder="1" applyAlignment="1">
      <alignment horizontal="center" vertical="center" wrapText="1"/>
    </xf>
    <xf numFmtId="49" fontId="33" fillId="20" borderId="0" xfId="0" applyNumberFormat="1" applyFont="1" applyFill="1" applyAlignment="1">
      <alignment horizontal="center" vertical="center" wrapText="1"/>
    </xf>
    <xf numFmtId="0" fontId="42" fillId="0" borderId="0" xfId="1" applyNumberFormat="1" applyFont="1" applyFill="1" applyAlignment="1">
      <alignment horizontal="center" vertical="center" wrapText="1"/>
    </xf>
    <xf numFmtId="0" fontId="33" fillId="0" borderId="0" xfId="0" applyNumberFormat="1" applyFont="1" applyFill="1" applyAlignment="1">
      <alignment horizontal="center" wrapText="1"/>
    </xf>
    <xf numFmtId="0" fontId="34" fillId="0" borderId="1" xfId="0" applyFont="1" applyFill="1" applyBorder="1" applyAlignment="1">
      <alignment horizontal="center" vertical="center" wrapText="1"/>
    </xf>
    <xf numFmtId="49" fontId="33" fillId="0" borderId="1" xfId="0" applyNumberFormat="1" applyFont="1" applyFill="1" applyBorder="1" applyAlignment="1">
      <alignment horizontal="center" vertical="center" wrapText="1"/>
    </xf>
    <xf numFmtId="0" fontId="34" fillId="0" borderId="1" xfId="0" applyFont="1" applyBorder="1" applyAlignment="1">
      <alignment horizontal="center" vertical="center" wrapText="1"/>
    </xf>
    <xf numFmtId="49" fontId="33" fillId="13" borderId="2" xfId="0" applyNumberFormat="1" applyFont="1" applyFill="1" applyBorder="1" applyAlignment="1">
      <alignment horizontal="center" vertical="center" wrapText="1"/>
    </xf>
    <xf numFmtId="49" fontId="33" fillId="13" borderId="1" xfId="0" applyNumberFormat="1" applyFont="1" applyFill="1" applyBorder="1" applyAlignment="1">
      <alignment horizontal="center" vertical="center" wrapText="1"/>
    </xf>
    <xf numFmtId="0" fontId="34" fillId="13" borderId="1" xfId="0" applyFont="1" applyFill="1" applyBorder="1" applyAlignment="1">
      <alignment horizontal="left" vertical="center" wrapText="1"/>
    </xf>
    <xf numFmtId="49" fontId="33" fillId="17" borderId="1" xfId="0" applyNumberFormat="1" applyFont="1" applyFill="1" applyBorder="1" applyAlignment="1">
      <alignment horizontal="center" vertical="center" wrapText="1"/>
    </xf>
    <xf numFmtId="49" fontId="33" fillId="17" borderId="2" xfId="0" applyNumberFormat="1" applyFont="1" applyFill="1" applyBorder="1" applyAlignment="1">
      <alignment horizontal="center" vertical="center" wrapText="1"/>
    </xf>
    <xf numFmtId="49" fontId="33" fillId="22" borderId="1" xfId="0" applyNumberFormat="1" applyFont="1" applyFill="1" applyBorder="1" applyAlignment="1">
      <alignment horizontal="center" vertical="center" wrapText="1"/>
    </xf>
    <xf numFmtId="0" fontId="34" fillId="22" borderId="1" xfId="0" applyFont="1" applyFill="1" applyBorder="1" applyAlignment="1">
      <alignment horizontal="center" vertical="center" wrapText="1"/>
    </xf>
    <xf numFmtId="0" fontId="34" fillId="0" borderId="1" xfId="0" applyFont="1" applyBorder="1" applyAlignment="1">
      <alignment vertical="center" wrapText="1"/>
    </xf>
    <xf numFmtId="0" fontId="33" fillId="19" borderId="3" xfId="0" applyNumberFormat="1" applyFont="1" applyFill="1" applyBorder="1" applyAlignment="1">
      <alignment horizontal="center" vertical="center" wrapText="1"/>
    </xf>
    <xf numFmtId="0" fontId="38" fillId="19" borderId="3" xfId="0" applyNumberFormat="1" applyFont="1" applyFill="1" applyBorder="1" applyAlignment="1">
      <alignment horizontal="center" vertical="center" wrapText="1"/>
    </xf>
    <xf numFmtId="49" fontId="33" fillId="19" borderId="3" xfId="0" applyNumberFormat="1" applyFont="1" applyFill="1" applyBorder="1" applyAlignment="1">
      <alignment horizontal="center" vertical="center" wrapText="1"/>
    </xf>
    <xf numFmtId="176" fontId="33" fillId="0" borderId="0" xfId="0" applyNumberFormat="1" applyFont="1" applyAlignment="1">
      <alignment horizontal="center" vertical="center" wrapText="1"/>
    </xf>
    <xf numFmtId="176" fontId="34" fillId="0" borderId="0" xfId="0" applyNumberFormat="1" applyFont="1" applyFill="1" applyAlignment="1">
      <alignment horizontal="center" vertical="center" wrapText="1"/>
    </xf>
    <xf numFmtId="176" fontId="33" fillId="0" borderId="0" xfId="0" applyNumberFormat="1" applyFont="1" applyFill="1" applyAlignment="1">
      <alignment horizontal="center" vertical="center" wrapText="1"/>
    </xf>
    <xf numFmtId="176" fontId="35" fillId="0" borderId="0" xfId="0" applyNumberFormat="1" applyFont="1" applyFill="1" applyAlignment="1">
      <alignment horizontal="center" vertical="center" wrapText="1"/>
    </xf>
    <xf numFmtId="176" fontId="36" fillId="0" borderId="2" xfId="0" applyNumberFormat="1" applyFont="1" applyBorder="1" applyAlignment="1">
      <alignment horizontal="center" vertical="center" wrapText="1"/>
    </xf>
    <xf numFmtId="176" fontId="37" fillId="0" borderId="2" xfId="0" applyNumberFormat="1" applyFont="1" applyFill="1" applyBorder="1" applyAlignment="1">
      <alignment horizontal="center" vertical="center" wrapText="1"/>
    </xf>
    <xf numFmtId="176" fontId="36" fillId="0" borderId="2" xfId="0" applyNumberFormat="1" applyFont="1" applyFill="1" applyBorder="1" applyAlignment="1">
      <alignment horizontal="center" vertical="center" wrapText="1"/>
    </xf>
    <xf numFmtId="176" fontId="32" fillId="0" borderId="2" xfId="0" applyNumberFormat="1" applyFont="1" applyFill="1" applyBorder="1" applyAlignment="1">
      <alignment horizontal="center" vertical="center" wrapText="1"/>
    </xf>
    <xf numFmtId="176" fontId="32" fillId="0" borderId="7" xfId="0" applyNumberFormat="1" applyFont="1" applyFill="1" applyBorder="1" applyAlignment="1">
      <alignment horizontal="center" vertical="center" wrapText="1"/>
    </xf>
    <xf numFmtId="176" fontId="33" fillId="19" borderId="1" xfId="0" applyNumberFormat="1" applyFont="1" applyFill="1" applyBorder="1" applyAlignment="1">
      <alignment horizontal="center" vertical="center" wrapText="1"/>
    </xf>
    <xf numFmtId="176" fontId="34" fillId="0" borderId="1" xfId="0" applyNumberFormat="1" applyFont="1" applyFill="1" applyBorder="1" applyAlignment="1">
      <alignment horizontal="center" vertical="center" wrapText="1"/>
    </xf>
    <xf numFmtId="176" fontId="39" fillId="0" borderId="1" xfId="0" applyNumberFormat="1" applyFont="1" applyFill="1" applyBorder="1" applyAlignment="1">
      <alignment horizontal="center" vertical="center" wrapText="1"/>
    </xf>
    <xf numFmtId="176" fontId="40" fillId="0" borderId="1" xfId="0" applyNumberFormat="1" applyFont="1" applyFill="1" applyBorder="1" applyAlignment="1">
      <alignment horizontal="center" vertical="center" wrapText="1"/>
    </xf>
    <xf numFmtId="176" fontId="41" fillId="0" borderId="1" xfId="0" applyNumberFormat="1" applyFont="1" applyFill="1" applyBorder="1" applyAlignment="1">
      <alignment horizontal="center" vertical="center" wrapText="1"/>
    </xf>
    <xf numFmtId="176" fontId="33" fillId="0" borderId="1" xfId="0" applyNumberFormat="1" applyFont="1" applyFill="1" applyBorder="1" applyAlignment="1">
      <alignment horizontal="center" vertical="center" wrapText="1"/>
    </xf>
    <xf numFmtId="176" fontId="34" fillId="0" borderId="5" xfId="0" applyNumberFormat="1" applyFont="1" applyFill="1" applyBorder="1" applyAlignment="1">
      <alignment horizontal="center" vertical="center" wrapText="1"/>
    </xf>
    <xf numFmtId="176" fontId="33" fillId="19" borderId="3" xfId="0" applyNumberFormat="1" applyFont="1" applyFill="1" applyBorder="1" applyAlignment="1">
      <alignment horizontal="center" vertical="center" wrapText="1"/>
    </xf>
    <xf numFmtId="176" fontId="33" fillId="0" borderId="3" xfId="0" applyNumberFormat="1" applyFont="1" applyFill="1" applyBorder="1" applyAlignment="1">
      <alignment horizontal="center" vertical="center" wrapText="1"/>
    </xf>
    <xf numFmtId="176" fontId="41" fillId="0" borderId="3" xfId="0" applyNumberFormat="1" applyFont="1" applyFill="1" applyBorder="1" applyAlignment="1">
      <alignment horizontal="center" vertical="center" wrapText="1"/>
    </xf>
    <xf numFmtId="176" fontId="34" fillId="0" borderId="3" xfId="0" applyNumberFormat="1" applyFont="1" applyFill="1" applyBorder="1" applyAlignment="1">
      <alignment horizontal="center" vertical="center" wrapText="1"/>
    </xf>
    <xf numFmtId="176" fontId="34" fillId="0" borderId="6" xfId="0" applyNumberFormat="1" applyFont="1" applyFill="1" applyBorder="1" applyAlignment="1">
      <alignment horizontal="center" vertical="center" wrapText="1"/>
    </xf>
    <xf numFmtId="176" fontId="33" fillId="20" borderId="3" xfId="0" applyNumberFormat="1" applyFont="1" applyFill="1" applyBorder="1" applyAlignment="1">
      <alignment horizontal="center" vertical="center" wrapText="1"/>
    </xf>
    <xf numFmtId="176" fontId="33" fillId="0" borderId="6" xfId="0" applyNumberFormat="1" applyFont="1" applyFill="1" applyBorder="1" applyAlignment="1">
      <alignment horizontal="center" vertical="center" wrapText="1"/>
    </xf>
    <xf numFmtId="176" fontId="33" fillId="0" borderId="5" xfId="0" applyNumberFormat="1" applyFont="1" applyFill="1" applyBorder="1" applyAlignment="1">
      <alignment horizontal="center" vertical="center" wrapText="1"/>
    </xf>
    <xf numFmtId="176" fontId="33" fillId="20" borderId="1" xfId="0" applyNumberFormat="1" applyFont="1" applyFill="1" applyBorder="1" applyAlignment="1">
      <alignment horizontal="center" vertical="center" wrapText="1"/>
    </xf>
    <xf numFmtId="176" fontId="33" fillId="17" borderId="3" xfId="0" applyNumberFormat="1" applyFont="1" applyFill="1" applyBorder="1" applyAlignment="1">
      <alignment horizontal="center" vertical="center" wrapText="1"/>
    </xf>
    <xf numFmtId="176" fontId="33" fillId="5" borderId="1" xfId="0" applyNumberFormat="1" applyFont="1" applyFill="1" applyBorder="1" applyAlignment="1">
      <alignment horizontal="center" vertical="center" wrapText="1"/>
    </xf>
    <xf numFmtId="176" fontId="33" fillId="7" borderId="1" xfId="0" applyNumberFormat="1" applyFont="1" applyFill="1" applyBorder="1" applyAlignment="1">
      <alignment horizontal="center" vertical="center" wrapText="1"/>
    </xf>
    <xf numFmtId="176" fontId="40" fillId="0" borderId="5" xfId="0" applyNumberFormat="1" applyFont="1" applyFill="1" applyBorder="1" applyAlignment="1">
      <alignment horizontal="center" vertical="center" wrapText="1"/>
    </xf>
    <xf numFmtId="176" fontId="44" fillId="10" borderId="1" xfId="0" applyNumberFormat="1" applyFont="1" applyFill="1" applyBorder="1" applyAlignment="1">
      <alignment horizontal="center" vertical="center" wrapText="1"/>
    </xf>
    <xf numFmtId="176" fontId="34" fillId="7" borderId="1" xfId="0" applyNumberFormat="1" applyFont="1" applyFill="1" applyBorder="1" applyAlignment="1">
      <alignment horizontal="center" vertical="center" wrapText="1"/>
    </xf>
    <xf numFmtId="176" fontId="34" fillId="10" borderId="5" xfId="0" applyNumberFormat="1" applyFont="1" applyFill="1" applyBorder="1" applyAlignment="1">
      <alignment horizontal="center" vertical="center" wrapText="1"/>
    </xf>
    <xf numFmtId="176" fontId="33" fillId="4" borderId="1" xfId="0" applyNumberFormat="1" applyFont="1" applyFill="1" applyBorder="1" applyAlignment="1">
      <alignment horizontal="center" vertical="center" wrapText="1"/>
    </xf>
    <xf numFmtId="176" fontId="33" fillId="9" borderId="1" xfId="0" applyNumberFormat="1" applyFont="1" applyFill="1" applyBorder="1" applyAlignment="1">
      <alignment horizontal="center" vertical="center" wrapText="1"/>
    </xf>
    <xf numFmtId="176" fontId="44" fillId="0" borderId="1" xfId="0" applyNumberFormat="1" applyFont="1" applyFill="1" applyBorder="1" applyAlignment="1">
      <alignment horizontal="center" vertical="center" wrapText="1"/>
    </xf>
    <xf numFmtId="176" fontId="40" fillId="0" borderId="2" xfId="0" applyNumberFormat="1" applyFont="1" applyFill="1" applyBorder="1" applyAlignment="1">
      <alignment horizontal="center" vertical="center" wrapText="1"/>
    </xf>
    <xf numFmtId="176" fontId="33" fillId="12" borderId="1" xfId="0" applyNumberFormat="1" applyFont="1" applyFill="1" applyBorder="1" applyAlignment="1">
      <alignment horizontal="center" vertical="center" wrapText="1"/>
    </xf>
    <xf numFmtId="176" fontId="33" fillId="0" borderId="2" xfId="0" applyNumberFormat="1" applyFont="1" applyFill="1" applyBorder="1" applyAlignment="1">
      <alignment horizontal="center" vertical="center" wrapText="1"/>
    </xf>
    <xf numFmtId="176" fontId="33" fillId="18" borderId="1" xfId="0" applyNumberFormat="1" applyFont="1" applyFill="1" applyBorder="1" applyAlignment="1">
      <alignment horizontal="center" vertical="center" wrapText="1"/>
    </xf>
    <xf numFmtId="176" fontId="33" fillId="18" borderId="2" xfId="0" applyNumberFormat="1" applyFont="1" applyFill="1" applyBorder="1" applyAlignment="1">
      <alignment horizontal="center" vertical="center" wrapText="1"/>
    </xf>
    <xf numFmtId="176" fontId="34" fillId="0" borderId="2" xfId="0" applyNumberFormat="1" applyFont="1" applyFill="1" applyBorder="1" applyAlignment="1">
      <alignment horizontal="center" vertical="center" wrapText="1"/>
    </xf>
    <xf numFmtId="176" fontId="39" fillId="0" borderId="2" xfId="0" applyNumberFormat="1" applyFont="1" applyFill="1" applyBorder="1" applyAlignment="1">
      <alignment horizontal="center" vertical="center" wrapText="1"/>
    </xf>
    <xf numFmtId="176" fontId="41" fillId="0" borderId="2" xfId="0" applyNumberFormat="1" applyFont="1" applyFill="1" applyBorder="1" applyAlignment="1">
      <alignment horizontal="center" vertical="center" wrapText="1"/>
    </xf>
    <xf numFmtId="176" fontId="33" fillId="0" borderId="7" xfId="0" applyNumberFormat="1" applyFont="1" applyFill="1" applyBorder="1" applyAlignment="1">
      <alignment horizontal="center" vertical="center" wrapText="1"/>
    </xf>
    <xf numFmtId="176" fontId="33" fillId="6" borderId="10" xfId="0" applyNumberFormat="1" applyFont="1" applyFill="1" applyBorder="1" applyAlignment="1">
      <alignment horizontal="center" vertical="center" wrapText="1"/>
    </xf>
    <xf numFmtId="176" fontId="34" fillId="0" borderId="10" xfId="0" applyNumberFormat="1" applyFont="1" applyFill="1" applyBorder="1" applyAlignment="1">
      <alignment horizontal="center" vertical="center" wrapText="1"/>
    </xf>
    <xf numFmtId="176" fontId="33" fillId="0" borderId="10" xfId="0" applyNumberFormat="1" applyFont="1" applyFill="1" applyBorder="1" applyAlignment="1">
      <alignment horizontal="center" vertical="center" wrapText="1"/>
    </xf>
    <xf numFmtId="176" fontId="39" fillId="0" borderId="10" xfId="0" applyNumberFormat="1" applyFont="1" applyFill="1" applyBorder="1" applyAlignment="1">
      <alignment horizontal="center" vertical="center" wrapText="1"/>
    </xf>
    <xf numFmtId="176" fontId="40" fillId="0" borderId="10" xfId="0" applyNumberFormat="1" applyFont="1" applyFill="1" applyBorder="1" applyAlignment="1">
      <alignment horizontal="center" vertical="center" wrapText="1"/>
    </xf>
    <xf numFmtId="176" fontId="41" fillId="0" borderId="10" xfId="0" applyNumberFormat="1" applyFont="1" applyFill="1" applyBorder="1" applyAlignment="1">
      <alignment horizontal="center" vertical="center" wrapText="1"/>
    </xf>
    <xf numFmtId="176" fontId="33" fillId="0" borderId="11" xfId="0" applyNumberFormat="1" applyFont="1" applyFill="1" applyBorder="1" applyAlignment="1">
      <alignment horizontal="center" vertical="center" wrapText="1"/>
    </xf>
    <xf numFmtId="176" fontId="33" fillId="6" borderId="2" xfId="0" applyNumberFormat="1" applyFont="1" applyFill="1" applyBorder="1" applyAlignment="1">
      <alignment horizontal="center" vertical="center" wrapText="1"/>
    </xf>
    <xf numFmtId="176" fontId="47" fillId="0" borderId="2" xfId="0" applyNumberFormat="1" applyFont="1" applyFill="1" applyBorder="1" applyAlignment="1">
      <alignment horizontal="center" vertical="center" wrapText="1"/>
    </xf>
    <xf numFmtId="176" fontId="49" fillId="0" borderId="2" xfId="0" applyNumberFormat="1" applyFont="1" applyFill="1" applyBorder="1" applyAlignment="1">
      <alignment horizontal="center" vertical="center" wrapText="1"/>
    </xf>
    <xf numFmtId="176" fontId="33" fillId="10" borderId="7" xfId="0" applyNumberFormat="1" applyFont="1" applyFill="1" applyBorder="1" applyAlignment="1">
      <alignment horizontal="center" vertical="center" wrapText="1"/>
    </xf>
    <xf numFmtId="176" fontId="33" fillId="7" borderId="2" xfId="0" applyNumberFormat="1" applyFont="1" applyFill="1" applyBorder="1" applyAlignment="1">
      <alignment horizontal="center" vertical="center" wrapText="1"/>
    </xf>
    <xf numFmtId="176" fontId="33" fillId="11" borderId="2" xfId="0" applyNumberFormat="1" applyFont="1" applyFill="1" applyBorder="1" applyAlignment="1">
      <alignment horizontal="center" vertical="center" wrapText="1"/>
    </xf>
    <xf numFmtId="176" fontId="33" fillId="21" borderId="1" xfId="0" applyNumberFormat="1" applyFont="1" applyFill="1" applyBorder="1" applyAlignment="1">
      <alignment horizontal="center" vertical="center" wrapText="1"/>
    </xf>
    <xf numFmtId="176" fontId="33" fillId="23" borderId="1" xfId="0" applyNumberFormat="1" applyFont="1" applyFill="1" applyBorder="1" applyAlignment="1">
      <alignment horizontal="center" vertical="center" wrapText="1"/>
    </xf>
    <xf numFmtId="176" fontId="33" fillId="8" borderId="7" xfId="0" applyNumberFormat="1" applyFont="1" applyFill="1" applyBorder="1" applyAlignment="1">
      <alignment horizontal="center" vertical="center" wrapText="1"/>
    </xf>
    <xf numFmtId="176" fontId="33" fillId="20" borderId="2" xfId="0" applyNumberFormat="1" applyFont="1" applyFill="1" applyBorder="1" applyAlignment="1">
      <alignment horizontal="center" vertical="center" wrapText="1"/>
    </xf>
    <xf numFmtId="176" fontId="33" fillId="0" borderId="1" xfId="0" applyNumberFormat="1" applyFont="1" applyBorder="1" applyAlignment="1">
      <alignment horizontal="center" vertical="center" wrapText="1"/>
    </xf>
    <xf numFmtId="176" fontId="33" fillId="13" borderId="2" xfId="0" applyNumberFormat="1" applyFont="1" applyFill="1" applyBorder="1" applyAlignment="1">
      <alignment horizontal="center" vertical="center" wrapText="1"/>
    </xf>
    <xf numFmtId="176" fontId="33" fillId="0" borderId="2" xfId="0" applyNumberFormat="1" applyFont="1" applyBorder="1" applyAlignment="1">
      <alignment horizontal="center" vertical="center" wrapText="1"/>
    </xf>
    <xf numFmtId="176" fontId="33" fillId="17" borderId="1" xfId="0" applyNumberFormat="1" applyFont="1" applyFill="1" applyBorder="1" applyAlignment="1">
      <alignment horizontal="center" vertical="center" wrapText="1"/>
    </xf>
    <xf numFmtId="176" fontId="33" fillId="22" borderId="1" xfId="0" applyNumberFormat="1" applyFont="1" applyFill="1" applyBorder="1" applyAlignment="1">
      <alignment horizontal="center" vertical="center" wrapText="1"/>
    </xf>
    <xf numFmtId="176" fontId="38" fillId="0" borderId="0" xfId="0" applyNumberFormat="1" applyFont="1" applyFill="1" applyAlignment="1">
      <alignment horizontal="center" vertical="center" wrapText="1"/>
    </xf>
    <xf numFmtId="176" fontId="38" fillId="0" borderId="1" xfId="0" applyNumberFormat="1" applyFont="1" applyFill="1" applyBorder="1" applyAlignment="1">
      <alignment horizontal="center" vertical="center" wrapText="1"/>
    </xf>
    <xf numFmtId="176" fontId="35" fillId="0" borderId="1" xfId="0" applyNumberFormat="1" applyFont="1" applyFill="1" applyBorder="1" applyAlignment="1">
      <alignment horizontal="center" vertical="center" wrapText="1"/>
    </xf>
    <xf numFmtId="0" fontId="27" fillId="0" borderId="0" xfId="0" applyFont="1"/>
    <xf numFmtId="0" fontId="27" fillId="0" borderId="0" xfId="0" applyFont="1" applyAlignment="1">
      <alignment vertical="center"/>
    </xf>
    <xf numFmtId="0" fontId="27" fillId="0" borderId="0" xfId="0" applyFont="1" applyAlignment="1">
      <alignment horizontal="right" vertical="center"/>
    </xf>
    <xf numFmtId="0" fontId="27" fillId="0" borderId="0" xfId="0" applyFont="1" applyBorder="1" applyAlignment="1">
      <alignment horizontal="center" vertical="center"/>
    </xf>
    <xf numFmtId="0" fontId="31" fillId="0" borderId="0" xfId="0" applyFont="1" applyAlignment="1">
      <alignment horizontal="left" vertical="center"/>
    </xf>
    <xf numFmtId="0" fontId="27" fillId="0" borderId="0" xfId="0" applyFont="1" applyAlignment="1">
      <alignment horizontal="center" vertical="center"/>
    </xf>
    <xf numFmtId="0" fontId="27" fillId="0" borderId="0" xfId="0" applyFont="1" applyAlignment="1">
      <alignment horizontal="center"/>
    </xf>
    <xf numFmtId="0" fontId="28" fillId="0" borderId="0" xfId="0" applyFont="1"/>
    <xf numFmtId="14" fontId="28" fillId="0" borderId="0" xfId="0" applyNumberFormat="1" applyFont="1" applyFill="1" applyBorder="1" applyAlignment="1"/>
    <xf numFmtId="14" fontId="28" fillId="0" borderId="0" xfId="0" applyNumberFormat="1" applyFont="1" applyFill="1" applyBorder="1" applyAlignment="1">
      <alignment horizontal="right"/>
    </xf>
    <xf numFmtId="0" fontId="30" fillId="0" borderId="0" xfId="1" applyFont="1" applyAlignment="1">
      <alignment horizontal="center"/>
    </xf>
    <xf numFmtId="0" fontId="31" fillId="0" borderId="0" xfId="0" applyFont="1" applyFill="1" applyAlignment="1">
      <alignment horizontal="left"/>
    </xf>
    <xf numFmtId="1" fontId="28" fillId="0" borderId="0" xfId="0" applyNumberFormat="1" applyFont="1" applyAlignment="1">
      <alignment horizontal="center" vertical="center"/>
    </xf>
    <xf numFmtId="14" fontId="28" fillId="0" borderId="0" xfId="0" applyNumberFormat="1" applyFont="1" applyFill="1" applyBorder="1" applyAlignment="1">
      <alignment horizontal="center" vertical="center" wrapText="1"/>
    </xf>
    <xf numFmtId="0" fontId="28" fillId="0" borderId="0" xfId="0" applyFont="1" applyFill="1" applyBorder="1" applyAlignment="1">
      <alignment horizontal="center"/>
    </xf>
    <xf numFmtId="0" fontId="28" fillId="0" borderId="0" xfId="0" applyFont="1" applyFill="1" applyBorder="1" applyAlignment="1">
      <alignment horizontal="center" vertical="center"/>
    </xf>
    <xf numFmtId="1" fontId="28" fillId="0" borderId="0" xfId="0" applyNumberFormat="1" applyFont="1" applyFill="1" applyBorder="1" applyAlignment="1">
      <alignment horizontal="center" vertical="center"/>
    </xf>
    <xf numFmtId="0" fontId="28" fillId="0" borderId="0" xfId="0" applyFont="1" applyFill="1" applyAlignment="1">
      <alignment horizontal="center" vertical="center"/>
    </xf>
    <xf numFmtId="14" fontId="31" fillId="0" borderId="0" xfId="0" applyNumberFormat="1" applyFont="1" applyFill="1" applyBorder="1" applyAlignment="1">
      <alignment vertical="center" wrapText="1"/>
    </xf>
    <xf numFmtId="0" fontId="28" fillId="0" borderId="0" xfId="1" applyFont="1" applyFill="1" applyBorder="1" applyAlignment="1">
      <alignment horizontal="center"/>
    </xf>
    <xf numFmtId="14" fontId="28" fillId="0" borderId="0" xfId="0" applyNumberFormat="1" applyFont="1" applyFill="1" applyBorder="1" applyAlignment="1">
      <alignment horizontal="center"/>
    </xf>
    <xf numFmtId="49" fontId="28" fillId="0" borderId="0" xfId="1" applyNumberFormat="1" applyFont="1" applyFill="1" applyBorder="1" applyAlignment="1">
      <alignment horizontal="center" wrapText="1"/>
    </xf>
    <xf numFmtId="0" fontId="31" fillId="0" borderId="0" xfId="0" applyFont="1" applyAlignment="1">
      <alignment horizontal="left" vertical="top"/>
    </xf>
    <xf numFmtId="0" fontId="31" fillId="0" borderId="0" xfId="0" applyFont="1"/>
    <xf numFmtId="49" fontId="28" fillId="0" borderId="0" xfId="1" applyNumberFormat="1" applyFont="1" applyFill="1" applyBorder="1" applyAlignment="1">
      <alignment horizontal="center"/>
    </xf>
    <xf numFmtId="0" fontId="28" fillId="0" borderId="0" xfId="0" applyFont="1" applyAlignment="1">
      <alignment horizontal="center" vertical="center"/>
    </xf>
    <xf numFmtId="0" fontId="30" fillId="0" borderId="0" xfId="1" applyFont="1" applyFill="1" applyBorder="1" applyAlignment="1">
      <alignment horizontal="center" vertical="center"/>
    </xf>
    <xf numFmtId="49" fontId="27" fillId="0" borderId="0" xfId="0" applyNumberFormat="1" applyFont="1"/>
    <xf numFmtId="0" fontId="27" fillId="0" borderId="0" xfId="0" applyFont="1" applyAlignment="1">
      <alignment horizontal="center" vertical="center" wrapText="1"/>
    </xf>
    <xf numFmtId="49" fontId="27" fillId="0" borderId="0" xfId="0" applyNumberFormat="1" applyFont="1" applyFill="1" applyBorder="1" applyAlignment="1">
      <alignment horizontal="center" vertical="center" wrapText="1"/>
    </xf>
    <xf numFmtId="0" fontId="28" fillId="0" borderId="0" xfId="0" applyFont="1" applyFill="1" applyAlignment="1">
      <alignment vertical="center" wrapText="1"/>
    </xf>
    <xf numFmtId="49" fontId="27" fillId="0" borderId="0" xfId="0" applyNumberFormat="1" applyFont="1" applyFill="1" applyBorder="1" applyAlignment="1">
      <alignment horizontal="center" wrapText="1"/>
    </xf>
    <xf numFmtId="49" fontId="28" fillId="0" borderId="0" xfId="0" applyNumberFormat="1" applyFont="1" applyFill="1" applyBorder="1" applyAlignment="1">
      <alignment horizontal="center" vertical="center"/>
    </xf>
    <xf numFmtId="14" fontId="28" fillId="0" borderId="0" xfId="0" applyNumberFormat="1" applyFont="1" applyFill="1" applyBorder="1" applyAlignment="1">
      <alignment horizontal="center" vertical="center"/>
    </xf>
    <xf numFmtId="0" fontId="30" fillId="0" borderId="0" xfId="1" applyFont="1" applyFill="1" applyBorder="1" applyAlignment="1">
      <alignment horizontal="center"/>
    </xf>
    <xf numFmtId="0" fontId="28" fillId="0" borderId="0" xfId="0" applyFont="1" applyAlignment="1">
      <alignment horizontal="center"/>
    </xf>
    <xf numFmtId="0" fontId="28" fillId="0" borderId="0" xfId="0" applyFont="1" applyFill="1" applyAlignment="1">
      <alignment horizontal="center"/>
    </xf>
    <xf numFmtId="0" fontId="28" fillId="0" borderId="0" xfId="0" applyFont="1" applyFill="1" applyBorder="1" applyAlignment="1">
      <alignment horizontal="center" vertical="center" wrapText="1"/>
    </xf>
    <xf numFmtId="0" fontId="28" fillId="0" borderId="0" xfId="0" applyFont="1" applyFill="1"/>
    <xf numFmtId="0" fontId="28" fillId="0" borderId="0" xfId="0" applyFont="1" applyFill="1" applyBorder="1" applyAlignment="1">
      <alignment vertical="center" wrapText="1"/>
    </xf>
    <xf numFmtId="0" fontId="31" fillId="0" borderId="0" xfId="0" applyFont="1" applyAlignment="1">
      <alignment horizontal="center"/>
    </xf>
    <xf numFmtId="0" fontId="28" fillId="0" borderId="0" xfId="1" applyFont="1" applyFill="1" applyAlignment="1">
      <alignment horizontal="center"/>
    </xf>
    <xf numFmtId="0" fontId="30" fillId="17" borderId="3" xfId="1" applyNumberFormat="1" applyFont="1" applyFill="1" applyBorder="1" applyAlignment="1">
      <alignment horizontal="center" wrapText="1"/>
    </xf>
    <xf numFmtId="49" fontId="28" fillId="0" borderId="0" xfId="0" applyNumberFormat="1" applyFont="1"/>
    <xf numFmtId="0" fontId="28" fillId="0" borderId="1" xfId="0" applyFont="1" applyFill="1" applyBorder="1" applyAlignment="1">
      <alignment horizontal="center"/>
    </xf>
    <xf numFmtId="0" fontId="28" fillId="0" borderId="1" xfId="0" applyFont="1" applyFill="1" applyBorder="1" applyAlignment="1">
      <alignment horizontal="center" wrapText="1"/>
    </xf>
    <xf numFmtId="0" fontId="0" fillId="0" borderId="0" xfId="0" applyNumberFormat="1" applyAlignment="1">
      <alignment horizontal="center" vertical="center" wrapText="1"/>
    </xf>
    <xf numFmtId="0" fontId="41" fillId="0" borderId="0" xfId="0" applyNumberFormat="1" applyFont="1" applyFill="1" applyAlignment="1">
      <alignment horizontal="center" vertical="center" wrapText="1"/>
    </xf>
    <xf numFmtId="176" fontId="33" fillId="0" borderId="2" xfId="0" applyNumberFormat="1" applyFont="1" applyFill="1" applyBorder="1" applyAlignment="1">
      <alignment horizontal="center" vertical="center" wrapText="1"/>
    </xf>
    <xf numFmtId="176" fontId="33" fillId="0" borderId="3" xfId="0" applyNumberFormat="1" applyFont="1" applyFill="1" applyBorder="1" applyAlignment="1">
      <alignment horizontal="center" vertical="center" wrapText="1"/>
    </xf>
    <xf numFmtId="49" fontId="28" fillId="0" borderId="0" xfId="0" applyNumberFormat="1" applyFont="1" applyFill="1" applyBorder="1" applyAlignment="1">
      <alignment horizontal="left" vertical="top" wrapText="1"/>
    </xf>
    <xf numFmtId="0" fontId="28" fillId="0" borderId="0" xfId="0" applyFont="1" applyAlignment="1">
      <alignment horizontal="center" vertical="center"/>
    </xf>
    <xf numFmtId="0" fontId="28" fillId="0" borderId="0" xfId="0" applyFont="1" applyFill="1" applyAlignment="1">
      <alignment horizontal="left" vertical="top" wrapText="1"/>
    </xf>
    <xf numFmtId="0" fontId="28" fillId="0" borderId="0" xfId="0" applyFont="1" applyFill="1" applyBorder="1" applyAlignment="1">
      <alignment horizontal="center" vertical="center"/>
    </xf>
    <xf numFmtId="0" fontId="28" fillId="0" borderId="0" xfId="0" applyFont="1" applyAlignment="1">
      <alignment horizontal="center" vertical="center" wrapText="1"/>
    </xf>
    <xf numFmtId="0" fontId="0" fillId="0" borderId="0" xfId="0" applyNumberFormat="1" applyAlignment="1">
      <alignment horizontal="center" vertical="center" wrapText="1"/>
    </xf>
    <xf numFmtId="0" fontId="19" fillId="10" borderId="0" xfId="0" applyNumberFormat="1" applyFont="1" applyFill="1" applyAlignment="1">
      <alignment horizontal="center" vertical="center" wrapText="1"/>
    </xf>
    <xf numFmtId="176" fontId="37" fillId="0" borderId="1" xfId="0" applyNumberFormat="1" applyFont="1" applyFill="1" applyBorder="1" applyAlignment="1">
      <alignment horizontal="center" vertical="center" wrapText="1"/>
    </xf>
  </cellXfs>
  <cellStyles count="2">
    <cellStyle name="Гиперссылка" xfId="1" builtinId="8"/>
    <cellStyle name="Обычный" xfId="0" builtinId="0"/>
  </cellStyles>
  <dxfs count="349">
    <dxf>
      <font>
        <b/>
        <i val="0"/>
        <color theme="0"/>
      </font>
      <fill>
        <patternFill>
          <bgColor rgb="FF7030A0"/>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FFC000"/>
      </font>
      <fill>
        <patternFill>
          <bgColor rgb="FF00B050"/>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FFC000"/>
      </font>
      <fill>
        <patternFill>
          <bgColor rgb="FF00B05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theme="0"/>
      </font>
      <fill>
        <patternFill>
          <bgColor rgb="FF7030A0"/>
        </patternFill>
      </fill>
    </dxf>
    <dxf>
      <font>
        <b/>
        <i val="0"/>
        <color theme="0"/>
      </font>
      <fill>
        <patternFill>
          <bgColor rgb="FF7030A0"/>
        </patternFill>
      </fill>
    </dxf>
    <dxf>
      <font>
        <b/>
        <i val="0"/>
      </font>
      <fill>
        <patternFill>
          <bgColor rgb="FFFF000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font>
      <fill>
        <patternFill>
          <bgColor rgb="FFFF000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FFC000"/>
      </font>
      <fill>
        <patternFill>
          <bgColor rgb="FF00B050"/>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theme="0"/>
      </font>
      <fill>
        <patternFill>
          <bgColor rgb="FF7030A0"/>
        </patternFill>
      </fill>
    </dxf>
    <dxf>
      <font>
        <b/>
        <i val="0"/>
        <color theme="0"/>
      </font>
      <fill>
        <patternFill>
          <bgColor rgb="FF7030A0"/>
        </patternFill>
      </fill>
    </dxf>
    <dxf>
      <font>
        <b/>
        <i val="0"/>
      </font>
      <fill>
        <patternFill>
          <bgColor rgb="FFFF0000"/>
        </patternFill>
      </fill>
    </dxf>
    <dxf>
      <font>
        <b/>
        <i val="0"/>
        <color theme="0"/>
      </font>
      <fill>
        <patternFill>
          <bgColor rgb="FF7030A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theme="0"/>
      </font>
      <fill>
        <patternFill>
          <bgColor rgb="FF7030A0"/>
        </patternFill>
      </fill>
    </dxf>
    <dxf>
      <font>
        <b/>
        <i val="0"/>
        <color theme="0"/>
      </font>
      <fill>
        <patternFill>
          <bgColor rgb="FF7030A0"/>
        </patternFill>
      </fill>
    </dxf>
    <dxf>
      <font>
        <b/>
        <i val="0"/>
      </font>
      <fill>
        <patternFill>
          <bgColor rgb="FFFF000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theme="0"/>
      </font>
      <fill>
        <patternFill>
          <bgColor rgb="FF7030A0"/>
        </patternFill>
      </fill>
    </dxf>
    <dxf>
      <font>
        <b/>
        <i val="0"/>
      </font>
      <fill>
        <patternFill>
          <bgColor rgb="FFFF0000"/>
        </patternFill>
      </fill>
    </dxf>
    <dxf>
      <font>
        <b/>
        <i val="0"/>
        <color theme="0"/>
      </font>
      <fill>
        <patternFill>
          <bgColor rgb="FF7030A0"/>
        </patternFill>
      </fill>
    </dxf>
    <dxf>
      <font>
        <b/>
        <i val="0"/>
        <color theme="0"/>
      </font>
      <fill>
        <patternFill>
          <bgColor rgb="FF7030A0"/>
        </patternFill>
      </fill>
    </dxf>
    <dxf>
      <font>
        <b/>
        <i val="0"/>
        <color rgb="FFFFC000"/>
      </font>
      <fill>
        <patternFill>
          <bgColor rgb="FF00B050"/>
        </patternFill>
      </fill>
    </dxf>
    <dxf>
      <font>
        <color rgb="FF9C0006"/>
      </font>
      <fill>
        <patternFill>
          <bgColor rgb="FFFFC7CE"/>
        </patternFill>
      </fill>
    </dxf>
    <dxf>
      <font>
        <color rgb="FF9C0006"/>
      </font>
      <fill>
        <patternFill>
          <bgColor rgb="FFFFC7CE"/>
        </patternFill>
      </fill>
    </dxf>
    <dxf>
      <font>
        <b/>
        <i val="0"/>
        <strike val="0"/>
      </font>
      <fill>
        <patternFill>
          <bgColor rgb="FFFF000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font>
      <fill>
        <patternFill>
          <bgColor rgb="FFFF0000"/>
        </patternFill>
      </fill>
    </dxf>
    <dxf>
      <font>
        <b/>
        <i val="0"/>
        <color theme="0"/>
      </font>
      <fill>
        <patternFill>
          <bgColor rgb="FF7030A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theme="0"/>
      </font>
      <fill>
        <patternFill>
          <bgColor rgb="FF7030A0"/>
        </patternFill>
      </fill>
    </dxf>
    <dxf>
      <font>
        <b/>
        <i val="0"/>
        <color theme="0"/>
      </font>
      <fill>
        <patternFill>
          <bgColor rgb="FF7030A0"/>
        </patternFill>
      </fill>
    </dxf>
    <dxf>
      <font>
        <b/>
        <i val="0"/>
      </font>
      <fill>
        <patternFill>
          <bgColor rgb="FFFF0000"/>
        </patternFill>
      </fill>
    </dxf>
    <dxf>
      <font>
        <b/>
        <i val="0"/>
        <color theme="0"/>
      </font>
      <fill>
        <patternFill>
          <bgColor rgb="FF7030A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theme="0"/>
      </font>
      <fill>
        <patternFill>
          <bgColor rgb="FF7030A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font>
      <fill>
        <patternFill>
          <bgColor rgb="FFFF0000"/>
        </patternFill>
      </fill>
    </dxf>
    <dxf>
      <font>
        <b/>
        <i val="0"/>
        <color theme="0"/>
      </font>
      <fill>
        <patternFill>
          <bgColor rgb="FF7030A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rgb="FFFFC000"/>
      </font>
      <fill>
        <patternFill>
          <bgColor rgb="FF00B050"/>
        </patternFill>
      </fill>
    </dxf>
    <dxf>
      <font>
        <b/>
        <i val="0"/>
        <color rgb="FFFFC000"/>
      </font>
      <fill>
        <patternFill>
          <bgColor rgb="FF00B05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theme="0"/>
      </font>
      <fill>
        <patternFill>
          <bgColor rgb="FF7030A0"/>
        </patternFill>
      </fill>
    </dxf>
    <dxf>
      <font>
        <b/>
        <i val="0"/>
        <color theme="0"/>
      </font>
      <fill>
        <patternFill>
          <bgColor rgb="FF7030A0"/>
        </patternFill>
      </fill>
    </dxf>
    <dxf>
      <font>
        <b/>
        <i val="0"/>
        <color rgb="FFFFC000"/>
      </font>
      <fill>
        <patternFill>
          <bgColor rgb="FF00B050"/>
        </patternFill>
      </fill>
    </dxf>
    <dxf>
      <font>
        <b/>
        <i val="0"/>
      </font>
      <fill>
        <patternFill>
          <bgColor rgb="FFFF000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theme="0"/>
      </font>
      <fill>
        <patternFill>
          <bgColor rgb="FF7030A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ont>
        <b/>
        <i val="0"/>
        <color rgb="FFFFC000"/>
      </font>
      <fill>
        <patternFill>
          <bgColor rgb="FF00B050"/>
        </patternFill>
      </fill>
    </dxf>
    <dxf>
      <fill>
        <patternFill>
          <bgColor rgb="FF7030A0"/>
        </patternFill>
      </fill>
    </dxf>
    <dxf>
      <font>
        <b/>
        <i val="0"/>
        <color rgb="FF9C6500"/>
      </font>
      <fill>
        <patternFill>
          <bgColor theme="7" tint="0.59996337778862885"/>
        </patternFill>
      </fill>
    </dxf>
    <dxf>
      <font>
        <b/>
        <i val="0"/>
        <color theme="7" tint="-0.499984740745262"/>
      </font>
      <fill>
        <patternFill>
          <bgColor theme="7" tint="0.59996337778862885"/>
        </patternFill>
      </fill>
    </dxf>
    <dxf>
      <font>
        <b/>
        <i val="0"/>
        <color theme="0"/>
      </font>
      <fill>
        <patternFill>
          <bgColor rgb="FF7030A0"/>
        </patternFill>
      </fill>
    </dxf>
    <dxf>
      <font>
        <b/>
        <i val="0"/>
        <color theme="0"/>
      </font>
      <fill>
        <patternFill>
          <bgColor rgb="FF7030A0"/>
        </patternFill>
      </fill>
    </dxf>
    <dxf>
      <font>
        <b/>
        <i val="0"/>
      </font>
      <fill>
        <patternFill>
          <bgColor rgb="FFFF0000"/>
        </patternFill>
      </fill>
    </dxf>
    <dxf>
      <font>
        <b/>
        <i val="0"/>
        <color theme="0"/>
      </font>
      <fill>
        <patternFill>
          <bgColor rgb="FF7030A0"/>
        </patternFill>
      </fill>
    </dxf>
    <dxf>
      <font>
        <b/>
        <i val="0"/>
        <color theme="0"/>
      </font>
      <fill>
        <patternFill>
          <bgColor rgb="FF7030A0"/>
        </patternFill>
      </fill>
    </dxf>
    <dxf>
      <font>
        <b/>
        <i val="0"/>
        <color theme="0"/>
      </font>
      <fill>
        <patternFill>
          <bgColor rgb="FF7030A0"/>
        </patternFill>
      </fill>
    </dxf>
    <dxf>
      <font>
        <b/>
        <i val="0"/>
        <color rgb="FFFFC000"/>
      </font>
      <fill>
        <patternFill>
          <bgColor rgb="FF00B050"/>
        </patternFill>
      </fill>
    </dxf>
    <dxf>
      <fill>
        <patternFill>
          <bgColor rgb="FF92D050"/>
        </patternFill>
      </fill>
      <border>
        <left style="thin">
          <color auto="1"/>
        </left>
        <right style="thin">
          <color auto="1"/>
        </right>
        <top style="thin">
          <color auto="1"/>
        </top>
        <bottom style="thin">
          <color auto="1"/>
        </bottom>
        <vertical/>
        <horizontal/>
      </border>
    </dxf>
    <dxf>
      <font>
        <b/>
        <i val="0"/>
        <color theme="0"/>
      </font>
      <fill>
        <patternFill>
          <bgColor rgb="FF7030A0"/>
        </patternFill>
      </fill>
    </dxf>
    <dxf>
      <font>
        <color rgb="FF9C0006"/>
      </font>
      <fill>
        <patternFill>
          <bgColor rgb="FFFFC7CE"/>
        </patternFill>
      </fill>
    </dxf>
    <dxf>
      <font>
        <color rgb="FF9C0006"/>
      </font>
      <fill>
        <patternFill>
          <bgColor rgb="FFFFC7CE"/>
        </patternFill>
      </fill>
    </dxf>
    <dxf>
      <font>
        <b/>
        <i val="0"/>
        <strike val="0"/>
      </font>
      <fill>
        <patternFill>
          <bgColor rgb="FFFF0000"/>
        </patternFill>
      </fill>
    </dxf>
    <dxf>
      <font>
        <color rgb="FF006100"/>
      </font>
      <fill>
        <patternFill>
          <bgColor rgb="FFC6EFCE"/>
        </patternFill>
      </fill>
    </dxf>
  </dxfs>
  <tableStyles count="0" defaultTableStyle="TableStyleMedium2" defaultPivotStyle="PivotStyleLight16"/>
  <colors>
    <mruColors>
      <color rgb="FF00FFCC"/>
      <color rgb="FFDDEBF7"/>
      <color rgb="FF0000FF"/>
      <color rgb="FF7030A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mailto:sales@yaweitai.com" TargetMode="External"/><Relationship Id="rId299" Type="http://schemas.openxmlformats.org/officeDocument/2006/relationships/hyperlink" Target="mailto:sales@yaweitai.com" TargetMode="External"/><Relationship Id="rId303" Type="http://schemas.openxmlformats.org/officeDocument/2006/relationships/hyperlink" Target="mailto:daisy@xxexx.cn" TargetMode="External"/><Relationship Id="rId21" Type="http://schemas.openxmlformats.org/officeDocument/2006/relationships/hyperlink" Target="mailto:daisy@xxexx.cn" TargetMode="External"/><Relationship Id="rId42" Type="http://schemas.openxmlformats.org/officeDocument/2006/relationships/hyperlink" Target="mailto:polivahin_a@s3.ru" TargetMode="External"/><Relationship Id="rId63"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1055;&#1086;&#1083;&#1080;&#1074;&#1072;&#1093;&#1080;&#1085;/&#1056;&#1086;&#1079;&#1077;&#1090;&#1082;&#1080;/Yawei/8/PI%20NO%20YW20180327-S3-08%20(REV).pdf" TargetMode="External"/><Relationship Id="rId84" Type="http://schemas.openxmlformats.org/officeDocument/2006/relationships/hyperlink" Target="mailto:golubcov_a@s3.ru" TargetMode="External"/><Relationship Id="rId138" Type="http://schemas.openxmlformats.org/officeDocument/2006/relationships/hyperlink" Target="mailto:golubcov_a@s3.ru" TargetMode="External"/><Relationship Id="rId159" Type="http://schemas.openxmlformats.org/officeDocument/2006/relationships/hyperlink" Target="mailto:daisy@xxexx.cn" TargetMode="External"/><Relationship Id="rId324" Type="http://schemas.openxmlformats.org/officeDocument/2006/relationships/hyperlink" Target="../AppData/&#1041;&#1072;&#1088;&#1072;&#1085;&#1086;&#1074;/Kaseey/&#1047;&#1072;&#1082;&#1072;&#1079;&#1099;/01/PI-1.jpg" TargetMode="External"/><Relationship Id="rId345" Type="http://schemas.openxmlformats.org/officeDocument/2006/relationships/hyperlink" Target="mailto:export@jinli.com" TargetMode="External"/><Relationship Id="rId170" Type="http://schemas.openxmlformats.org/officeDocument/2006/relationships/hyperlink" Target="mailto:export@jinli.com" TargetMode="External"/><Relationship Id="rId191" Type="http://schemas.openxmlformats.org/officeDocument/2006/relationships/hyperlink" Target="mailto:gluh_m@s3.ru" TargetMode="External"/><Relationship Id="rId205" Type="http://schemas.openxmlformats.org/officeDocument/2006/relationships/hyperlink" Target="mailto:baranov_y@s3.ru" TargetMode="External"/><Relationship Id="rId226" Type="http://schemas.openxmlformats.org/officeDocument/2006/relationships/hyperlink" Target="mailto:sales02@changangroup.com.cn" TargetMode="External"/><Relationship Id="rId247" Type="http://schemas.openxmlformats.org/officeDocument/2006/relationships/hyperlink" Target="mailto:baranov_y@s3.ru" TargetMode="External"/><Relationship Id="rId107" Type="http://schemas.openxmlformats.org/officeDocument/2006/relationships/hyperlink" Target="mailto:golubcov_a@s3.ru" TargetMode="External"/><Relationship Id="rId268" Type="http://schemas.openxmlformats.org/officeDocument/2006/relationships/hyperlink" Target="mailto:sales2@youthsocket.com" TargetMode="External"/><Relationship Id="rId289" Type="http://schemas.openxmlformats.org/officeDocument/2006/relationships/hyperlink" Target="mailto:export@jinli.com" TargetMode="External"/><Relationship Id="rId11" Type="http://schemas.openxmlformats.org/officeDocument/2006/relationships/hyperlink" Target="mailto:sales02@changangroup.com.cn" TargetMode="External"/><Relationship Id="rId32" Type="http://schemas.openxmlformats.org/officeDocument/2006/relationships/hyperlink" Target="mailto:polivahin_a@s3.ru" TargetMode="External"/><Relationship Id="rId53" Type="http://schemas.openxmlformats.org/officeDocument/2006/relationships/hyperlink" Target="mailto:daisy@xxexx.cn" TargetMode="External"/><Relationship Id="rId74" Type="http://schemas.openxmlformats.org/officeDocument/2006/relationships/hyperlink" Target="mailto:polivahin_a@s3.ru" TargetMode="External"/><Relationship Id="rId128" Type="http://schemas.openxmlformats.org/officeDocument/2006/relationships/hyperlink" Target="mailto:daisy@xxexx.cn" TargetMode="External"/><Relationship Id="rId149" Type="http://schemas.openxmlformats.org/officeDocument/2006/relationships/hyperlink" Target="mailto:sales@yaweitai.com" TargetMode="External"/><Relationship Id="rId314" Type="http://schemas.openxmlformats.org/officeDocument/2006/relationships/hyperlink" Target="mailto:sales@yaweitai.com" TargetMode="External"/><Relationship Id="rId335" Type="http://schemas.openxmlformats.org/officeDocument/2006/relationships/hyperlink" Target="mailto:conwell.sales5@conwell.cc" TargetMode="External"/><Relationship Id="rId5" Type="http://schemas.openxmlformats.org/officeDocument/2006/relationships/hyperlink" Target="mailto:sales@yaweitai.com" TargetMode="External"/><Relationship Id="rId95" Type="http://schemas.openxmlformats.org/officeDocument/2006/relationships/hyperlink" Target="mailto:export@jinli.com" TargetMode="External"/><Relationship Id="rId160" Type="http://schemas.openxmlformats.org/officeDocument/2006/relationships/hyperlink" Target="mailto:daisy@xxexx.cn" TargetMode="External"/><Relationship Id="rId181"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Users/tugov_s/&#1043;&#1086;&#1083;&#1091;&#1073;&#1094;&#1086;&#1074;.&#1059;&#1076;&#1083;&#1080;&#1085;&#1080;&#1090;&#1077;&#1083;&#1080;/xianxing/153/PI153.pdf" TargetMode="External"/><Relationship Id="rId216" Type="http://schemas.openxmlformats.org/officeDocument/2006/relationships/hyperlink" Target="mailto:daisy@xxexx.cn" TargetMode="External"/><Relationship Id="rId237" Type="http://schemas.openxmlformats.org/officeDocument/2006/relationships/hyperlink" Target="mailto:sales@yaweitai.com" TargetMode="External"/><Relationship Id="rId258" Type="http://schemas.openxmlformats.org/officeDocument/2006/relationships/hyperlink" Target="mailto:kulygina_e@s3.ru" TargetMode="External"/><Relationship Id="rId279" Type="http://schemas.openxmlformats.org/officeDocument/2006/relationships/hyperlink" Target="mailto:conwell.sales5@conwell.cc" TargetMode="External"/><Relationship Id="rId22" Type="http://schemas.openxmlformats.org/officeDocument/2006/relationships/hyperlink" Target="mailto:aojicn@aojicn.com" TargetMode="External"/><Relationship Id="rId43" Type="http://schemas.openxmlformats.org/officeDocument/2006/relationships/hyperlink" Target="mailto:polivahin_a@s3.ru" TargetMode="External"/><Relationship Id="rId64"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xianxing/148/&#1055;&#1088;&#1086;&#1092;&#1086;&#1088;&#1084;&#1072;.pdf" TargetMode="External"/><Relationship Id="rId118" Type="http://schemas.openxmlformats.org/officeDocument/2006/relationships/hyperlink" Target="mailto:polivahin_a@s3.ru" TargetMode="External"/><Relationship Id="rId139"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1043;&#1086;&#1083;&#1091;&#1073;&#1094;&#1086;&#1074;.&#1059;&#1076;&#1083;&#1080;&#1085;&#1080;&#1090;&#1077;&#1083;&#1080;/xianxing/151/WeChat%20Image_20181113133025.jpg" TargetMode="External"/><Relationship Id="rId290" Type="http://schemas.openxmlformats.org/officeDocument/2006/relationships/hyperlink" Target="mailto:polivahin_a@s3.ru" TargetMode="External"/><Relationship Id="rId304" Type="http://schemas.openxmlformats.org/officeDocument/2006/relationships/hyperlink" Target="mailto:daisy@xxexx.cn" TargetMode="External"/><Relationship Id="rId325" Type="http://schemas.openxmlformats.org/officeDocument/2006/relationships/hyperlink" Target="../AppData/&#1041;&#1072;&#1088;&#1072;&#1085;&#1086;&#1074;/Kaseey/&#1047;&#1072;&#1082;&#1072;&#1079;&#1099;/01/PI-2.jpg" TargetMode="External"/><Relationship Id="rId346" Type="http://schemas.openxmlformats.org/officeDocument/2006/relationships/hyperlink" Target="mailto:sales@yaweitai.com" TargetMode="External"/><Relationship Id="rId85" Type="http://schemas.openxmlformats.org/officeDocument/2006/relationships/hyperlink" Target="mailto:golubcov_a@s3.ru" TargetMode="External"/><Relationship Id="rId150" Type="http://schemas.openxmlformats.org/officeDocument/2006/relationships/hyperlink" Target="mailto:sales@yaweitai.com" TargetMode="External"/><Relationship Id="rId171" Type="http://schemas.openxmlformats.org/officeDocument/2006/relationships/hyperlink" Target="mailto:polivahin_a@s3.ru" TargetMode="External"/><Relationship Id="rId192" Type="http://schemas.openxmlformats.org/officeDocument/2006/relationships/hyperlink" Target="mailto:gluh_m@s3.ru" TargetMode="External"/><Relationship Id="rId206" Type="http://schemas.openxmlformats.org/officeDocument/2006/relationships/hyperlink" Target="mailto:export@jinli.com" TargetMode="External"/><Relationship Id="rId227" Type="http://schemas.openxmlformats.org/officeDocument/2006/relationships/hyperlink" Target="mailto:daisy@xxexx.cn" TargetMode="External"/><Relationship Id="rId248" Type="http://schemas.openxmlformats.org/officeDocument/2006/relationships/hyperlink" Target="mailto:baranov_y@s3.ru" TargetMode="External"/><Relationship Id="rId269" Type="http://schemas.openxmlformats.org/officeDocument/2006/relationships/hyperlink" Target="mailto:sales@yaweitai.com" TargetMode="External"/><Relationship Id="rId12" Type="http://schemas.openxmlformats.org/officeDocument/2006/relationships/hyperlink" Target="mailto:sales02@changangroup.com.cn" TargetMode="External"/><Relationship Id="rId33" Type="http://schemas.openxmlformats.org/officeDocument/2006/relationships/hyperlink" Target="mailto:golubcov_a@s3.ru" TargetMode="External"/><Relationship Id="rId108"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xianxing/146/PI%20XX-146.xls" TargetMode="External"/><Relationship Id="rId129" Type="http://schemas.openxmlformats.org/officeDocument/2006/relationships/hyperlink" Target="mailto:golubcov_a@s3.ru" TargetMode="External"/><Relationship Id="rId280" Type="http://schemas.openxmlformats.org/officeDocument/2006/relationships/hyperlink" Target="mailto:export@jinli.com" TargetMode="External"/><Relationship Id="rId315" Type="http://schemas.openxmlformats.org/officeDocument/2006/relationships/hyperlink" Target="mailto:sales@yaweitai.com" TargetMode="External"/><Relationship Id="rId336" Type="http://schemas.openxmlformats.org/officeDocument/2006/relationships/hyperlink" Target="mailto:gluh_m@s3.ru" TargetMode="External"/><Relationship Id="rId54" Type="http://schemas.openxmlformats.org/officeDocument/2006/relationships/hyperlink" Target="mailto:golubcov_a@s3.ru" TargetMode="External"/><Relationship Id="rId75" Type="http://schemas.openxmlformats.org/officeDocument/2006/relationships/hyperlink" Target="mailto:sales@yaweitai.com" TargetMode="External"/><Relationship Id="rId96" Type="http://schemas.openxmlformats.org/officeDocument/2006/relationships/hyperlink" Target="mailto:polivahin_a@s3.ru" TargetMode="External"/><Relationship Id="rId140" Type="http://schemas.openxmlformats.org/officeDocument/2006/relationships/hyperlink" Target="mailto:daisy@xxexx.cn" TargetMode="External"/><Relationship Id="rId161" Type="http://schemas.openxmlformats.org/officeDocument/2006/relationships/hyperlink" Target="mailto:daisy@xxexx.cn" TargetMode="External"/><Relationship Id="rId182"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Users/tugov_s/&#1043;&#1086;&#1083;&#1091;&#1073;&#1094;&#1086;&#1074;.&#1059;&#1076;&#1083;&#1080;&#1085;&#1080;&#1090;&#1077;&#1083;&#1080;/xianxing/156/PI%20156%20157%20SP11.pdf" TargetMode="External"/><Relationship Id="rId217" Type="http://schemas.openxmlformats.org/officeDocument/2006/relationships/hyperlink" Target="mailto:golubcov_a@s3.ru" TargetMode="External"/><Relationship Id="rId6" Type="http://schemas.openxmlformats.org/officeDocument/2006/relationships/hyperlink" Target="mailto:sales02@changangroup.com.cn" TargetMode="External"/><Relationship Id="rId238" Type="http://schemas.openxmlformats.org/officeDocument/2006/relationships/hyperlink" Target="mailto:polivahin_a@s3.ru" TargetMode="External"/><Relationship Id="rId259" Type="http://schemas.openxmlformats.org/officeDocument/2006/relationships/hyperlink" Target="mailto:sale01@cnbulb.com" TargetMode="External"/><Relationship Id="rId23" Type="http://schemas.openxmlformats.org/officeDocument/2006/relationships/hyperlink" Target="mailto:daisy@xxexx.cn" TargetMode="External"/><Relationship Id="rId119" Type="http://schemas.openxmlformats.org/officeDocument/2006/relationships/hyperlink" Target="mailto:polivahin_a@s3.ru" TargetMode="External"/><Relationship Id="rId270" Type="http://schemas.openxmlformats.org/officeDocument/2006/relationships/hyperlink" Target="mailto:golubcov_a@s3.ru" TargetMode="External"/><Relationship Id="rId291" Type="http://schemas.openxmlformats.org/officeDocument/2006/relationships/hyperlink" Target="mailto:daisy@xxexx.cn" TargetMode="External"/><Relationship Id="rId305" Type="http://schemas.openxmlformats.org/officeDocument/2006/relationships/hyperlink" Target="mailto:daisy@xxexx.cn" TargetMode="External"/><Relationship Id="rId326" Type="http://schemas.openxmlformats.org/officeDocument/2006/relationships/hyperlink" Target="mailto:chernykh_a@s3.ru" TargetMode="External"/><Relationship Id="rId347" Type="http://schemas.openxmlformats.org/officeDocument/2006/relationships/hyperlink" Target="mailto:sales@yaweitai.com" TargetMode="External"/><Relationship Id="rId44" Type="http://schemas.openxmlformats.org/officeDocument/2006/relationships/hyperlink" Target="mailto:fomin_m@s3.ru" TargetMode="External"/><Relationship Id="rId65"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1043;&#1086;&#1083;&#1091;&#1073;&#1094;&#1086;&#1074;.&#1059;&#1076;&#1083;&#1080;&#1085;&#1080;&#1090;&#1077;&#1083;&#1080;/xianxing/SO8/XX_Special_8.xls" TargetMode="External"/><Relationship Id="rId86" Type="http://schemas.openxmlformats.org/officeDocument/2006/relationships/hyperlink" Target="mailto:golubcov_a@s3.ru" TargetMode="External"/><Relationship Id="rId130"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tugov_s/AppData/Roaming/Microsoft/&#1043;&#1086;&#1083;&#1091;&#1073;&#1094;&#1086;&#1074;.&#1059;&#1076;&#1083;&#1080;&#1085;&#1080;&#1090;&#1077;&#1083;&#1080;/xianxing/146/PI%20XX-146.xls" TargetMode="External"/><Relationship Id="rId151" Type="http://schemas.openxmlformats.org/officeDocument/2006/relationships/hyperlink" Target="mailto:polivahin_a@s3.ru" TargetMode="External"/><Relationship Id="rId172" Type="http://schemas.openxmlformats.org/officeDocument/2006/relationships/hyperlink" Target="mailto:sales02@changangroup.com.cn" TargetMode="External"/><Relationship Id="rId193" Type="http://schemas.openxmlformats.org/officeDocument/2006/relationships/hyperlink" Target="mailto:conwell.sales5@conwell.cc" TargetMode="External"/><Relationship Id="rId207" Type="http://schemas.openxmlformats.org/officeDocument/2006/relationships/hyperlink" Target="mailto:polivahin_a@s3.ru" TargetMode="External"/><Relationship Id="rId228" Type="http://schemas.openxmlformats.org/officeDocument/2006/relationships/hyperlink" Target="mailto:golubcov_a@s3.ru" TargetMode="External"/><Relationship Id="rId249" Type="http://schemas.openxmlformats.org/officeDocument/2006/relationships/hyperlink" Target="mailto:sales@yaweitai.com" TargetMode="External"/><Relationship Id="rId13" Type="http://schemas.openxmlformats.org/officeDocument/2006/relationships/hyperlink" Target="mailto:daisy@xxexx.cn" TargetMode="External"/><Relationship Id="rId109" Type="http://schemas.openxmlformats.org/officeDocument/2006/relationships/hyperlink" Target="mailto:daisy@xxexx.cn" TargetMode="External"/><Relationship Id="rId260" Type="http://schemas.openxmlformats.org/officeDocument/2006/relationships/hyperlink" Target="mailto:13549788506@163.com" TargetMode="External"/><Relationship Id="rId281" Type="http://schemas.openxmlformats.org/officeDocument/2006/relationships/hyperlink" Target="mailto:polivahin_a@s3.ru" TargetMode="External"/><Relationship Id="rId316" Type="http://schemas.openxmlformats.org/officeDocument/2006/relationships/hyperlink" Target="mailto:polivahin_a@s3.ru" TargetMode="External"/><Relationship Id="rId337" Type="http://schemas.openxmlformats.org/officeDocument/2006/relationships/hyperlink" Target="../AppData/&#1063;&#1077;&#1088;&#1085;&#1099;&#1093;/HSD/&#1047;&#1072;&#1082;&#1072;&#1079;/01/PI-blox-&#1055;&#1086;&#1076;&#1087;&#1080;&#1089;&#1100;.xlsx" TargetMode="External"/><Relationship Id="rId34" Type="http://schemas.openxmlformats.org/officeDocument/2006/relationships/hyperlink" Target="mailto:golubcov_a@s3.ru" TargetMode="External"/><Relationship Id="rId55" Type="http://schemas.openxmlformats.org/officeDocument/2006/relationships/hyperlink" Target="mailto:daisy@xxexx.cn" TargetMode="External"/><Relationship Id="rId76" Type="http://schemas.openxmlformats.org/officeDocument/2006/relationships/hyperlink" Target="mailto:polivahin_a@s3.ru" TargetMode="External"/><Relationship Id="rId97" Type="http://schemas.openxmlformats.org/officeDocument/2006/relationships/hyperlink" Target="mailto:polivahin_a@s3.ru" TargetMode="External"/><Relationship Id="rId120" Type="http://schemas.openxmlformats.org/officeDocument/2006/relationships/hyperlink" Target="mailto:export@jinli.com" TargetMode="External"/><Relationship Id="rId141" Type="http://schemas.openxmlformats.org/officeDocument/2006/relationships/hyperlink" Target="mailto:golubcov_a@s3.ru" TargetMode="External"/><Relationship Id="rId7" Type="http://schemas.openxmlformats.org/officeDocument/2006/relationships/hyperlink" Target="mailto:sales02@changangroup.com.cn" TargetMode="External"/><Relationship Id="rId162"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1043;&#1086;&#1083;&#1091;&#1073;&#1094;&#1086;&#1074;.&#1059;&#1076;&#1083;&#1080;&#1085;&#1080;&#1090;&#1077;&#1083;&#1080;/xianxing/154/2%20&#1082;&#1085;&#1080;&#1075;&#1072;%20&#1082;&#1072;&#1073;&#1077;&#1083;&#1103;.jpg" TargetMode="External"/><Relationship Id="rId183"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Users/tugov_s/&#1043;&#1086;&#1083;&#1091;&#1073;&#1094;&#1086;&#1074;.&#1059;&#1076;&#1083;&#1080;&#1085;&#1080;&#1090;&#1077;&#1083;&#1080;/xianxing/157/PI%20156%20157%20SP11.pdf" TargetMode="External"/><Relationship Id="rId218" Type="http://schemas.openxmlformats.org/officeDocument/2006/relationships/hyperlink" Target="mailto:export@jinli.com" TargetMode="External"/><Relationship Id="rId239" Type="http://schemas.openxmlformats.org/officeDocument/2006/relationships/hyperlink" Target="mailto:export@jinli.com" TargetMode="External"/><Relationship Id="rId250" Type="http://schemas.openxmlformats.org/officeDocument/2006/relationships/hyperlink" Target="mailto:polivahin_a@s3.ru" TargetMode="External"/><Relationship Id="rId271" Type="http://schemas.openxmlformats.org/officeDocument/2006/relationships/hyperlink" Target="mailto:chernykh_a@s3.ru" TargetMode="External"/><Relationship Id="rId292" Type="http://schemas.openxmlformats.org/officeDocument/2006/relationships/hyperlink" Target="mailto:polivahin_a@s3.ru" TargetMode="External"/><Relationship Id="rId306" Type="http://schemas.openxmlformats.org/officeDocument/2006/relationships/hyperlink" Target="mailto:golubcov_a@s3.ru" TargetMode="External"/><Relationship Id="rId24" Type="http://schemas.openxmlformats.org/officeDocument/2006/relationships/hyperlink" Target="mailto:sales@yaweitai.com" TargetMode="External"/><Relationship Id="rId45" Type="http://schemas.openxmlformats.org/officeDocument/2006/relationships/hyperlink" Target="mailto:sales02@changangroup.com.cn" TargetMode="External"/><Relationship Id="rId66"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tugov_s/AppData/Roaming/Microsoft/&#1043;&#1086;&#1083;&#1091;&#1073;&#1094;&#1086;&#1074;.&#1059;&#1076;&#1083;&#1080;&#1085;&#1080;&#1090;&#1077;&#1083;&#1080;/xianxing/147/PI%20XX-147.xls" TargetMode="External"/><Relationship Id="rId87"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xianxing/149/PI149.jpg" TargetMode="External"/><Relationship Id="rId110" Type="http://schemas.openxmlformats.org/officeDocument/2006/relationships/hyperlink" Target="mailto:golubcov_a@s3.ru" TargetMode="External"/><Relationship Id="rId131" Type="http://schemas.openxmlformats.org/officeDocument/2006/relationships/hyperlink" Target="mailto:polivahin_a@s3.ru" TargetMode="External"/><Relationship Id="rId327" Type="http://schemas.openxmlformats.org/officeDocument/2006/relationships/hyperlink" Target="mailto:sales@yaweitai.com" TargetMode="External"/><Relationship Id="rId348" Type="http://schemas.openxmlformats.org/officeDocument/2006/relationships/hyperlink" Target="mailto:13549788506@163.com" TargetMode="External"/><Relationship Id="rId152" Type="http://schemas.openxmlformats.org/officeDocument/2006/relationships/hyperlink" Target="mailto:polivahin_a@s3.ru" TargetMode="External"/><Relationship Id="rId173" Type="http://schemas.openxmlformats.org/officeDocument/2006/relationships/hyperlink" Target="mailto:baranov_y@s3.ru" TargetMode="External"/><Relationship Id="rId194" Type="http://schemas.openxmlformats.org/officeDocument/2006/relationships/hyperlink" Target="mailto:sales@yaweitai.com" TargetMode="External"/><Relationship Id="rId208"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Users/tugov_s/&#1055;&#1086;&#1083;&#1080;&#1074;&#1072;&#1093;&#1080;&#1085;/&#1056;&#1086;&#1079;&#1077;&#1090;&#1082;&#1080;/JINLI/41/2018.12.06%20Draft%20of%20docs%20RUMETA-PI-C045-041.xls" TargetMode="External"/><Relationship Id="rId229" Type="http://schemas.openxmlformats.org/officeDocument/2006/relationships/hyperlink" Target="mailto:baranov_y@s3.ru" TargetMode="External"/><Relationship Id="rId240" Type="http://schemas.openxmlformats.org/officeDocument/2006/relationships/hyperlink" Target="mailto:export@jinli.com" TargetMode="External"/><Relationship Id="rId261" Type="http://schemas.openxmlformats.org/officeDocument/2006/relationships/hyperlink" Target="mailto:baranov_y@s3.ru" TargetMode="External"/><Relationship Id="rId14" Type="http://schemas.openxmlformats.org/officeDocument/2006/relationships/hyperlink" Target="mailto:daisy@xxexx.cn" TargetMode="External"/><Relationship Id="rId35" Type="http://schemas.openxmlformats.org/officeDocument/2006/relationships/hyperlink" Target="mailto:polivahin_a@s3.ru" TargetMode="External"/><Relationship Id="rId56" Type="http://schemas.openxmlformats.org/officeDocument/2006/relationships/hyperlink" Target="mailto:golubcov_a@s3.ru" TargetMode="External"/><Relationship Id="rId77"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tugov_s/AppData/Roaming/Microsoft/&#1055;&#1086;&#1083;&#1080;&#1074;&#1072;&#1093;&#1080;&#1085;/&#1056;&#1086;&#1079;&#1077;&#1090;&#1082;&#1080;/Yawei/10/PI%20of%2010th%20order%202018-8-8.pdf" TargetMode="External"/><Relationship Id="rId100"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55;&#1086;&#1083;&#1080;&#1074;&#1072;&#1093;&#1080;&#1085;/&#1056;&#1086;&#1079;&#1077;&#1090;&#1082;&#1080;/JINLI/36/2018.09.14%20Draft%20of%20docs%20ARISTA-PI-C045-036.xls" TargetMode="External"/><Relationship Id="rId282" Type="http://schemas.openxmlformats.org/officeDocument/2006/relationships/hyperlink" Target="mailto:polivahin_a@s3.ru" TargetMode="External"/><Relationship Id="rId317" Type="http://schemas.openxmlformats.org/officeDocument/2006/relationships/hyperlink" Target="mailto:polivahin_a@s3.ru" TargetMode="External"/><Relationship Id="rId338" Type="http://schemas.openxmlformats.org/officeDocument/2006/relationships/hyperlink" Target="mailto:chernykh_a@s3.ru" TargetMode="External"/><Relationship Id="rId8" Type="http://schemas.openxmlformats.org/officeDocument/2006/relationships/hyperlink" Target="mailto:sales@yaweitai.com" TargetMode="External"/><Relationship Id="rId98" Type="http://schemas.openxmlformats.org/officeDocument/2006/relationships/hyperlink" Target="mailto:polivahin_a@s3.ru" TargetMode="External"/><Relationship Id="rId121" Type="http://schemas.openxmlformats.org/officeDocument/2006/relationships/hyperlink" Target="mailto:daisy@xxexx.cn" TargetMode="External"/><Relationship Id="rId142"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1043;&#1086;&#1083;&#1091;&#1073;&#1094;&#1086;&#1074;.&#1059;&#1076;&#1083;&#1080;&#1085;&#1080;&#1090;&#1077;&#1083;&#1080;/xianxing/152/PI152.pdf" TargetMode="External"/><Relationship Id="rId163"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1043;&#1086;&#1083;&#1091;&#1073;&#1094;&#1086;&#1074;.&#1059;&#1076;&#1083;&#1080;&#1085;&#1080;&#1090;&#1077;&#1083;&#1080;/xianxing/155/PI155.jpg" TargetMode="External"/><Relationship Id="rId184"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Users/tugov_s/&#1043;&#1086;&#1083;&#1091;&#1073;&#1094;&#1086;&#1074;.&#1059;&#1076;&#1083;&#1080;&#1085;&#1080;&#1090;&#1077;&#1083;&#1080;/xianxing/SO11/PI%20156%20157%20SP11.pdf" TargetMode="External"/><Relationship Id="rId219" Type="http://schemas.openxmlformats.org/officeDocument/2006/relationships/hyperlink" Target="mailto:polivahin_a@s3.ru" TargetMode="External"/><Relationship Id="rId230" Type="http://schemas.openxmlformats.org/officeDocument/2006/relationships/hyperlink" Target="mailto:baranov_y@s3.ru" TargetMode="External"/><Relationship Id="rId251" Type="http://schemas.openxmlformats.org/officeDocument/2006/relationships/hyperlink" Target="mailto:sales02@changangroup.com.cn" TargetMode="External"/><Relationship Id="rId25" Type="http://schemas.openxmlformats.org/officeDocument/2006/relationships/hyperlink" Target="mailto:aojicn@aojicn.com" TargetMode="External"/><Relationship Id="rId46" Type="http://schemas.openxmlformats.org/officeDocument/2006/relationships/hyperlink" Target="mailto:aojicn@aojicn.com" TargetMode="External"/><Relationship Id="rId67"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xianxing/145/&#1055;&#1088;&#1086;&#1092;&#1086;&#1088;&#1084;&#1072;%20145.pdf" TargetMode="External"/><Relationship Id="rId272" Type="http://schemas.openxmlformats.org/officeDocument/2006/relationships/hyperlink" Target="mailto:chernykh_a@s3.ru" TargetMode="External"/><Relationship Id="rId293" Type="http://schemas.openxmlformats.org/officeDocument/2006/relationships/hyperlink" Target="mailto:polivahin_a@s3.ru" TargetMode="External"/><Relationship Id="rId307" Type="http://schemas.openxmlformats.org/officeDocument/2006/relationships/hyperlink" Target="mailto:daisy@xxexx.cn" TargetMode="External"/><Relationship Id="rId328" Type="http://schemas.openxmlformats.org/officeDocument/2006/relationships/hyperlink" Target="mailto:golubcov_a@s3.ru" TargetMode="External"/><Relationship Id="rId349" Type="http://schemas.openxmlformats.org/officeDocument/2006/relationships/hyperlink" Target="mailto:chernykh_a@s3.ru" TargetMode="External"/><Relationship Id="rId88"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xianxing/150/PI150.jpg" TargetMode="External"/><Relationship Id="rId111"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tugov_s/AppData/Roaming/Microsoft/&#1043;&#1086;&#1083;&#1091;&#1073;&#1094;&#1086;&#1074;.&#1059;&#1076;&#1083;&#1080;&#1085;&#1080;&#1090;&#1077;&#1083;&#1080;/xianxing/146/PI%20XX-146.xls" TargetMode="External"/><Relationship Id="rId132" Type="http://schemas.openxmlformats.org/officeDocument/2006/relationships/hyperlink" Target="mailto:gluh_m@s3.ru" TargetMode="External"/><Relationship Id="rId153" Type="http://schemas.openxmlformats.org/officeDocument/2006/relationships/hyperlink" Target="mailto:golubcov_a@s3.ru" TargetMode="External"/><Relationship Id="rId174" Type="http://schemas.openxmlformats.org/officeDocument/2006/relationships/hyperlink" Target="mailto:baranov_y@s3.ru" TargetMode="External"/><Relationship Id="rId195" Type="http://schemas.openxmlformats.org/officeDocument/2006/relationships/hyperlink" Target="mailto:polivahin_a@s3.ru" TargetMode="External"/><Relationship Id="rId209" Type="http://schemas.openxmlformats.org/officeDocument/2006/relationships/hyperlink" Target="mailto:gluh_m@s3.ru" TargetMode="External"/><Relationship Id="rId190" Type="http://schemas.openxmlformats.org/officeDocument/2006/relationships/hyperlink" Target="mailto:kulygina_e@s3.ru" TargetMode="External"/><Relationship Id="rId204"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1043;&#1086;&#1083;&#1091;&#1073;&#1094;&#1086;&#1074;.&#1059;&#1076;&#1083;&#1080;&#1085;&#1080;&#1090;&#1077;&#1083;&#1080;/xianxing/158/signed%20PI.pdf" TargetMode="External"/><Relationship Id="rId220" Type="http://schemas.openxmlformats.org/officeDocument/2006/relationships/hyperlink" Target="mailto:sales@yaweitai.com" TargetMode="External"/><Relationship Id="rId225" Type="http://schemas.openxmlformats.org/officeDocument/2006/relationships/hyperlink" Target="mailto:polivahin_a@s3.ru" TargetMode="External"/><Relationship Id="rId241" Type="http://schemas.openxmlformats.org/officeDocument/2006/relationships/hyperlink" Target="mailto:polivahin_a@s3.ru" TargetMode="External"/><Relationship Id="rId246" Type="http://schemas.openxmlformats.org/officeDocument/2006/relationships/hyperlink" Target="mailto:baranov_y@s3.ru" TargetMode="External"/><Relationship Id="rId267" Type="http://schemas.openxmlformats.org/officeDocument/2006/relationships/hyperlink" Target="mailto:sales2@youthsocket.com" TargetMode="External"/><Relationship Id="rId288" Type="http://schemas.openxmlformats.org/officeDocument/2006/relationships/hyperlink" Target="mailto:gluh_m@s3.ru" TargetMode="External"/><Relationship Id="rId15" Type="http://schemas.openxmlformats.org/officeDocument/2006/relationships/hyperlink" Target="mailto:daisy@xxexx.cn" TargetMode="External"/><Relationship Id="rId36" Type="http://schemas.openxmlformats.org/officeDocument/2006/relationships/hyperlink" Target="mailto:polivahin_a@s3.ru" TargetMode="External"/><Relationship Id="rId57" Type="http://schemas.openxmlformats.org/officeDocument/2006/relationships/hyperlink" Target="mailto:sales02@changangroup.com.cn" TargetMode="External"/><Relationship Id="rId106" Type="http://schemas.openxmlformats.org/officeDocument/2006/relationships/hyperlink" Target="mailto:daisy@xxexx.cn" TargetMode="External"/><Relationship Id="rId127" Type="http://schemas.openxmlformats.org/officeDocument/2006/relationships/hyperlink" Target="mailto:conwell.sales5@conwell.cc" TargetMode="External"/><Relationship Id="rId262" Type="http://schemas.openxmlformats.org/officeDocument/2006/relationships/hyperlink" Target="mailto:daisy@xxexx.cn" TargetMode="External"/><Relationship Id="rId283" Type="http://schemas.openxmlformats.org/officeDocument/2006/relationships/hyperlink" Target="mailto:baranov_y@s3.ru" TargetMode="External"/><Relationship Id="rId313" Type="http://schemas.openxmlformats.org/officeDocument/2006/relationships/hyperlink" Target="mailto:baranov_y@s3.ru" TargetMode="External"/><Relationship Id="rId318" Type="http://schemas.openxmlformats.org/officeDocument/2006/relationships/hyperlink" Target="mailto:daisy@xxexx.cn" TargetMode="External"/><Relationship Id="rId339" Type="http://schemas.openxmlformats.org/officeDocument/2006/relationships/hyperlink" Target="mailto:sales@yaweitai.com" TargetMode="External"/><Relationship Id="rId10" Type="http://schemas.openxmlformats.org/officeDocument/2006/relationships/hyperlink" Target="mailto:daisy@xxexx.cn" TargetMode="External"/><Relationship Id="rId31" Type="http://schemas.openxmlformats.org/officeDocument/2006/relationships/hyperlink" Target="mailto:polivahin_a@s3.ru" TargetMode="External"/><Relationship Id="rId52" Type="http://schemas.openxmlformats.org/officeDocument/2006/relationships/hyperlink" Target="mailto:golubcov_a@s3.ru" TargetMode="External"/><Relationship Id="rId73"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55;&#1086;&#1083;&#1080;&#1074;&#1072;&#1093;&#1080;&#1085;/&#1056;&#1086;&#1079;&#1077;&#1090;&#1082;&#1080;/JINLI/32/PI-C045-032.pdf" TargetMode="External"/><Relationship Id="rId78"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xianxing/144/XX-144%20PI%20signed.pdf" TargetMode="External"/><Relationship Id="rId94" Type="http://schemas.openxmlformats.org/officeDocument/2006/relationships/hyperlink" Target="mailto:export@jinli.com" TargetMode="External"/><Relationship Id="rId99"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55;&#1086;&#1083;&#1080;&#1074;&#1072;&#1093;&#1080;&#1085;/&#1056;&#1086;&#1079;&#1077;&#1090;&#1082;&#1080;/JINLI/35/2018.09.12%20Draft%20of%20docs%20ARISTA-PI-C045-035.xls" TargetMode="External"/><Relationship Id="rId101"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55;&#1086;&#1083;&#1080;&#1074;&#1072;&#1093;&#1080;&#1085;/&#1056;&#1086;&#1079;&#1077;&#1090;&#1082;&#1080;/JINLI/34/2018.08.06%20Draft%20of%20docs%20ARISTA-PI-C045-034.xls" TargetMode="External"/><Relationship Id="rId122" Type="http://schemas.openxmlformats.org/officeDocument/2006/relationships/hyperlink" Target="mailto:daisy@xxexx.cn" TargetMode="External"/><Relationship Id="rId143" Type="http://schemas.openxmlformats.org/officeDocument/2006/relationships/hyperlink" Target="mailto:sale01@cnbulb.com" TargetMode="External"/><Relationship Id="rId148"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1055;&#1086;&#1083;&#1080;&#1074;&#1072;&#1093;&#1080;&#1085;/&#1056;&#1086;&#1079;&#1077;&#1090;&#1082;&#1080;/JINLI/38/2018.10.30%20Draft%20of%20docs%20RUMETA-PI-C045-038(RE).xls" TargetMode="External"/><Relationship Id="rId164"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1043;&#1086;&#1083;&#1091;&#1073;&#1094;&#1086;&#1074;.&#1059;&#1076;&#1083;&#1080;&#1085;&#1080;&#1090;&#1077;&#1083;&#1080;/xianxing/SO10/PI%20SP%2010.jpg" TargetMode="External"/><Relationship Id="rId169" Type="http://schemas.openxmlformats.org/officeDocument/2006/relationships/hyperlink" Target="mailto:export@jinli.com" TargetMode="External"/><Relationship Id="rId185"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Users/tugov_s/&#1055;&#1086;&#1083;&#1080;&#1074;&#1072;&#1093;&#1080;&#1085;/&#1056;&#1086;&#1079;&#1077;&#1090;&#1082;&#1080;/JINLI/39/2018.11.28%20Draft%20of%20docs%20RUMETA-PI-C045-039(RE)(E)%20&#1087;&#1086;&#1076;.+.pdf" TargetMode="External"/><Relationship Id="rId334" Type="http://schemas.openxmlformats.org/officeDocument/2006/relationships/hyperlink" Target="mailto:gluh_m@s3.ru" TargetMode="External"/><Relationship Id="rId350" Type="http://schemas.openxmlformats.org/officeDocument/2006/relationships/hyperlink" Target="mailto:chernykh_a@s3.ru" TargetMode="External"/><Relationship Id="rId355" Type="http://schemas.openxmlformats.org/officeDocument/2006/relationships/comments" Target="../comments1.xml"/><Relationship Id="rId4" Type="http://schemas.openxmlformats.org/officeDocument/2006/relationships/hyperlink" Target="mailto:sales@yaweitai.com" TargetMode="External"/><Relationship Id="rId9" Type="http://schemas.openxmlformats.org/officeDocument/2006/relationships/hyperlink" Target="mailto:daisy@xxexx.cn" TargetMode="External"/><Relationship Id="rId180"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Users/tugov_s/&#1055;&#1086;&#1083;&#1080;&#1074;&#1072;&#1093;&#1080;&#1085;/&#1056;&#1086;&#1079;&#1077;&#1090;&#1082;&#1080;/Yawei/14/PI%20YW20181218-S3-14.pdf" TargetMode="External"/><Relationship Id="rId210" Type="http://schemas.openxmlformats.org/officeDocument/2006/relationships/hyperlink" Target="mailto:vancol@vancol.cn" TargetMode="External"/><Relationship Id="rId215" Type="http://schemas.openxmlformats.org/officeDocument/2006/relationships/hyperlink" Target="mailto:daisy@xxexx.cn" TargetMode="External"/><Relationship Id="rId236" Type="http://schemas.openxmlformats.org/officeDocument/2006/relationships/hyperlink" Target="mailto:polivahin_a@s3.ru" TargetMode="External"/><Relationship Id="rId257" Type="http://schemas.openxmlformats.org/officeDocument/2006/relationships/hyperlink" Target="mailto:sale01@cnbulb.com" TargetMode="External"/><Relationship Id="rId278" Type="http://schemas.openxmlformats.org/officeDocument/2006/relationships/hyperlink" Target="mailto:baranov_y@s3.ru" TargetMode="External"/><Relationship Id="rId26" Type="http://schemas.openxmlformats.org/officeDocument/2006/relationships/hyperlink" Target="mailto:daisy@xxexx.cn" TargetMode="External"/><Relationship Id="rId231" Type="http://schemas.openxmlformats.org/officeDocument/2006/relationships/hyperlink" Target="mailto:daisy@xxexx.cn" TargetMode="External"/><Relationship Id="rId252" Type="http://schemas.openxmlformats.org/officeDocument/2006/relationships/hyperlink" Target="mailto:baranov_y@s3.ru" TargetMode="External"/><Relationship Id="rId273" Type="http://schemas.openxmlformats.org/officeDocument/2006/relationships/hyperlink" Target="mailto:chernykh_a@s3.ru" TargetMode="External"/><Relationship Id="rId294" Type="http://schemas.openxmlformats.org/officeDocument/2006/relationships/hyperlink" Target="mailto:polivahin_a@s3.ru" TargetMode="External"/><Relationship Id="rId308" Type="http://schemas.openxmlformats.org/officeDocument/2006/relationships/hyperlink" Target="mailto:golubcov_a@s3.ru" TargetMode="External"/><Relationship Id="rId329" Type="http://schemas.openxmlformats.org/officeDocument/2006/relationships/hyperlink" Target="mailto:vancol@vancol.cn" TargetMode="External"/><Relationship Id="rId47" Type="http://schemas.openxmlformats.org/officeDocument/2006/relationships/hyperlink" Target="mailto:golubcov_a@s3.ru" TargetMode="External"/><Relationship Id="rId68"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xianxing/SO7/PI%20SO7.pdf" TargetMode="External"/><Relationship Id="rId89"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xianxing/SO9/PI%20SO9.jpg" TargetMode="External"/><Relationship Id="rId112" Type="http://schemas.openxmlformats.org/officeDocument/2006/relationships/hyperlink" Target="mailto:gluh_m@s3.ru" TargetMode="External"/><Relationship Id="rId133" Type="http://schemas.openxmlformats.org/officeDocument/2006/relationships/hyperlink" Target="mailto:sales@yaweitai.com" TargetMode="External"/><Relationship Id="rId154" Type="http://schemas.openxmlformats.org/officeDocument/2006/relationships/hyperlink" Target="mailto:daisy@xxexx.cn" TargetMode="External"/><Relationship Id="rId175" Type="http://schemas.openxmlformats.org/officeDocument/2006/relationships/hyperlink" Target="mailto:golubcov_a@s3.ru" TargetMode="External"/><Relationship Id="rId340" Type="http://schemas.openxmlformats.org/officeDocument/2006/relationships/hyperlink" Target="mailto:polivahin_a@s3.ru" TargetMode="External"/><Relationship Id="rId196"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Users/tugov_s/AppData/Roaming/Microsoft/&#1055;&#1086;&#1083;&#1080;&#1074;&#1072;&#1093;&#1080;&#1085;/&#1056;&#1086;&#1079;&#1077;&#1090;&#1082;&#1080;/Yawei/15/scan%20of%20final%20PI%20YW20190404-S3-15%20order15%202019-4-30.pdf" TargetMode="External"/><Relationship Id="rId200" Type="http://schemas.openxmlformats.org/officeDocument/2006/relationships/hyperlink" Target="mailto:golubcov_a@s3.ru" TargetMode="External"/><Relationship Id="rId16" Type="http://schemas.openxmlformats.org/officeDocument/2006/relationships/hyperlink" Target="mailto:sales@yaweitai.com" TargetMode="External"/><Relationship Id="rId221" Type="http://schemas.openxmlformats.org/officeDocument/2006/relationships/hyperlink" Target="mailto:sales@yaweitai.com" TargetMode="External"/><Relationship Id="rId242" Type="http://schemas.openxmlformats.org/officeDocument/2006/relationships/hyperlink" Target="mailto:conwell.sales5@conwell.cc" TargetMode="External"/><Relationship Id="rId263" Type="http://schemas.openxmlformats.org/officeDocument/2006/relationships/hyperlink" Target="mailto:golubcov_a@s3.ru" TargetMode="External"/><Relationship Id="rId284" Type="http://schemas.openxmlformats.org/officeDocument/2006/relationships/hyperlink" Target="mailto:polivahin_a@s3.ru" TargetMode="External"/><Relationship Id="rId319" Type="http://schemas.openxmlformats.org/officeDocument/2006/relationships/hyperlink" Target="mailto:daisy@xxexx.cn" TargetMode="External"/><Relationship Id="rId37" Type="http://schemas.openxmlformats.org/officeDocument/2006/relationships/hyperlink" Target="mailto:polivahin_a@s3.ru" TargetMode="External"/><Relationship Id="rId58" Type="http://schemas.openxmlformats.org/officeDocument/2006/relationships/hyperlink" Target="mailto:daisy@xxexx.cn" TargetMode="External"/><Relationship Id="rId79"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tugov_s/AppData/Roaming/Microsoft/&#1043;&#1086;&#1083;&#1091;&#1073;&#1094;&#1086;&#1074;.&#1059;&#1076;&#1083;&#1080;&#1085;&#1080;&#1090;&#1077;&#1083;&#1080;/xianxing/146/PI%20XX-146.xls" TargetMode="External"/><Relationship Id="rId102"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1055;&#1086;&#1083;&#1080;&#1074;&#1072;&#1093;&#1080;&#1085;/&#1056;&#1086;&#1079;&#1077;&#1090;&#1082;&#1080;/Yawei/11/draft%20of%20PI.xlsx" TargetMode="External"/><Relationship Id="rId123" Type="http://schemas.openxmlformats.org/officeDocument/2006/relationships/hyperlink" Target="mailto:golubcov_a@s3.ru" TargetMode="External"/><Relationship Id="rId144" Type="http://schemas.openxmlformats.org/officeDocument/2006/relationships/hyperlink" Target="mailto:kulygina_e@s3.ru" TargetMode="External"/><Relationship Id="rId330" Type="http://schemas.openxmlformats.org/officeDocument/2006/relationships/hyperlink" Target="mailto:gluh_m@s3.ru" TargetMode="External"/><Relationship Id="rId90" Type="http://schemas.openxmlformats.org/officeDocument/2006/relationships/hyperlink" Target="mailto:export@jinli.com" TargetMode="External"/><Relationship Id="rId165" Type="http://schemas.openxmlformats.org/officeDocument/2006/relationships/hyperlink" Target="mailto:gluh_m@s3.ru" TargetMode="External"/><Relationship Id="rId186"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Users/tugov_s/&#1055;&#1086;&#1083;&#1080;&#1074;&#1072;&#1093;&#1080;&#1085;/&#1056;&#1086;&#1079;&#1077;&#1090;&#1082;&#1080;/JINLI/40/2018.12.11%20Draft%20of%20docs%20RUMETA-PI-C045-040(E)%20&#1087;&#1086;&#1076;.+.pdf" TargetMode="External"/><Relationship Id="rId351" Type="http://schemas.openxmlformats.org/officeDocument/2006/relationships/hyperlink" Target="mailto:sales@yaweitai.com" TargetMode="External"/><Relationship Id="rId211" Type="http://schemas.openxmlformats.org/officeDocument/2006/relationships/hyperlink" Target="mailto:gluh_m@s3.ru" TargetMode="External"/><Relationship Id="rId232" Type="http://schemas.openxmlformats.org/officeDocument/2006/relationships/hyperlink" Target="mailto:daisy@xxexx.cn" TargetMode="External"/><Relationship Id="rId253" Type="http://schemas.openxmlformats.org/officeDocument/2006/relationships/hyperlink" Target="mailto:gluh_m@s3.ru" TargetMode="External"/><Relationship Id="rId274" Type="http://schemas.openxmlformats.org/officeDocument/2006/relationships/hyperlink" Target="mailto:chernykh_a@s3.ru" TargetMode="External"/><Relationship Id="rId295" Type="http://schemas.openxmlformats.org/officeDocument/2006/relationships/hyperlink" Target="mailto:sales@yaweitai.com" TargetMode="External"/><Relationship Id="rId309" Type="http://schemas.openxmlformats.org/officeDocument/2006/relationships/hyperlink" Target="mailto:daisy@xxexx.cn" TargetMode="External"/><Relationship Id="rId27" Type="http://schemas.openxmlformats.org/officeDocument/2006/relationships/hyperlink" Target="mailto:sales02@changangroup.com.cn" TargetMode="External"/><Relationship Id="rId48" Type="http://schemas.openxmlformats.org/officeDocument/2006/relationships/hyperlink" Target="mailto:polivahin_a@s3.ru" TargetMode="External"/><Relationship Id="rId69"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xianxing/144/XX-144%20PI%20signed.pdf" TargetMode="External"/><Relationship Id="rId113" Type="http://schemas.openxmlformats.org/officeDocument/2006/relationships/hyperlink" Target="mailto:export@jinli.com" TargetMode="External"/><Relationship Id="rId134" Type="http://schemas.openxmlformats.org/officeDocument/2006/relationships/hyperlink" Target="mailto:polivahin_a@s3.ru" TargetMode="External"/><Relationship Id="rId320" Type="http://schemas.openxmlformats.org/officeDocument/2006/relationships/hyperlink" Target="mailto:golubcov_a@s3.ru" TargetMode="External"/><Relationship Id="rId80" Type="http://schemas.openxmlformats.org/officeDocument/2006/relationships/hyperlink" Target="mailto:golubcov_a@s3.ru" TargetMode="External"/><Relationship Id="rId155" Type="http://schemas.openxmlformats.org/officeDocument/2006/relationships/hyperlink" Target="mailto:golubcov_a@s3.ru" TargetMode="External"/><Relationship Id="rId176" Type="http://schemas.openxmlformats.org/officeDocument/2006/relationships/hyperlink" Target="mailto:daisy@xxexx.cn" TargetMode="External"/><Relationship Id="rId197" Type="http://schemas.openxmlformats.org/officeDocument/2006/relationships/hyperlink" Target="mailto:polivahin_a@s3.ru" TargetMode="External"/><Relationship Id="rId341" Type="http://schemas.openxmlformats.org/officeDocument/2006/relationships/hyperlink" Target="mailto:baranov_y@s3.ru" TargetMode="External"/><Relationship Id="rId201" Type="http://schemas.openxmlformats.org/officeDocument/2006/relationships/hyperlink" Target="mailto:golubcov_a@s3.ru" TargetMode="External"/><Relationship Id="rId222" Type="http://schemas.openxmlformats.org/officeDocument/2006/relationships/hyperlink" Target="mailto:polivahin_a@s3.ru" TargetMode="External"/><Relationship Id="rId243" Type="http://schemas.openxmlformats.org/officeDocument/2006/relationships/hyperlink" Target="mailto:vancol@vancol.cn" TargetMode="External"/><Relationship Id="rId264" Type="http://schemas.openxmlformats.org/officeDocument/2006/relationships/hyperlink" Target="mailto:export@jinli.com" TargetMode="External"/><Relationship Id="rId285" Type="http://schemas.openxmlformats.org/officeDocument/2006/relationships/hyperlink" Target="mailto:daisy@xxexx.cn" TargetMode="External"/><Relationship Id="rId17" Type="http://schemas.openxmlformats.org/officeDocument/2006/relationships/hyperlink" Target="mailto:daisy@xxexx.cn" TargetMode="External"/><Relationship Id="rId38" Type="http://schemas.openxmlformats.org/officeDocument/2006/relationships/hyperlink" Target="mailto:polivahin_a@s3.ru" TargetMode="External"/><Relationship Id="rId59" Type="http://schemas.openxmlformats.org/officeDocument/2006/relationships/hyperlink" Target="mailto:sales@yaweitai.com" TargetMode="External"/><Relationship Id="rId103" Type="http://schemas.openxmlformats.org/officeDocument/2006/relationships/hyperlink" Target="mailto:daisy@xxexx.cn" TargetMode="External"/><Relationship Id="rId124" Type="http://schemas.openxmlformats.org/officeDocument/2006/relationships/hyperlink" Target="mailto:golubcov_a@s3.ru" TargetMode="External"/><Relationship Id="rId310" Type="http://schemas.openxmlformats.org/officeDocument/2006/relationships/hyperlink" Target="mailto:golubcov_a@s3.ru" TargetMode="External"/><Relationship Id="rId70"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55;&#1086;&#1083;&#1080;&#1074;&#1072;&#1093;&#1080;&#1085;/&#1056;&#1086;&#1079;&#1077;&#1090;&#1082;&#1080;/JINLI/28/PI-C045-028.pdf" TargetMode="External"/><Relationship Id="rId91" Type="http://schemas.openxmlformats.org/officeDocument/2006/relationships/hyperlink" Target="mailto:polivahin_a@s3.ru" TargetMode="External"/><Relationship Id="rId145" Type="http://schemas.openxmlformats.org/officeDocument/2006/relationships/hyperlink" Target="mailto:gluh_m@s3.ru" TargetMode="External"/><Relationship Id="rId166"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Users/tugov_s/&#1043;&#1083;&#1091;&#1093;/Vancol/1/Signed%20PI%20VC-1812L%20%202018.12.24.pdf" TargetMode="External"/><Relationship Id="rId187"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Users/tugov_s/&#1055;&#1086;&#1083;&#1080;&#1074;&#1072;&#1093;&#1080;&#1085;/&#1056;&#1086;&#1079;&#1077;&#1090;&#1082;&#1080;/JINLI/41/2018.12.06%20Draft%20of%20docs%20RUMETA-PI-C045-041.xls" TargetMode="External"/><Relationship Id="rId331" Type="http://schemas.openxmlformats.org/officeDocument/2006/relationships/hyperlink" Target="mailto:export@jinli.com" TargetMode="External"/><Relationship Id="rId352" Type="http://schemas.openxmlformats.org/officeDocument/2006/relationships/hyperlink" Target="mailto:golubcov_a@s3.ru" TargetMode="External"/><Relationship Id="rId1" Type="http://schemas.openxmlformats.org/officeDocument/2006/relationships/hyperlink" Target="mailto:daisy@xxexx.cn" TargetMode="External"/><Relationship Id="rId212" Type="http://schemas.openxmlformats.org/officeDocument/2006/relationships/hyperlink" Target="mailto:13549788506@163.com" TargetMode="External"/><Relationship Id="rId233" Type="http://schemas.openxmlformats.org/officeDocument/2006/relationships/hyperlink" Target="mailto:daisy@xxexx.cn" TargetMode="External"/><Relationship Id="rId254" Type="http://schemas.openxmlformats.org/officeDocument/2006/relationships/hyperlink" Target="mailto:aojicn@aojicn.com" TargetMode="External"/><Relationship Id="rId28" Type="http://schemas.openxmlformats.org/officeDocument/2006/relationships/hyperlink" Target="mailto:daisy@xxexx.cn" TargetMode="External"/><Relationship Id="rId49" Type="http://schemas.openxmlformats.org/officeDocument/2006/relationships/hyperlink" Target="mailto:daisy@xxexx.cn" TargetMode="External"/><Relationship Id="rId114" Type="http://schemas.openxmlformats.org/officeDocument/2006/relationships/hyperlink" Target="mailto:polivahin_a@s3.ru" TargetMode="External"/><Relationship Id="rId275" Type="http://schemas.openxmlformats.org/officeDocument/2006/relationships/hyperlink" Target="mailto:chernykh_a@s3.ru" TargetMode="External"/><Relationship Id="rId296" Type="http://schemas.openxmlformats.org/officeDocument/2006/relationships/hyperlink" Target="mailto:polivahin_a@s3.ru" TargetMode="External"/><Relationship Id="rId300" Type="http://schemas.openxmlformats.org/officeDocument/2006/relationships/hyperlink" Target="mailto:polivahin_a@s3.ru" TargetMode="External"/><Relationship Id="rId60" Type="http://schemas.openxmlformats.org/officeDocument/2006/relationships/hyperlink" Target="mailto:daisy@xxexx.cn" TargetMode="External"/><Relationship Id="rId81" Type="http://schemas.openxmlformats.org/officeDocument/2006/relationships/hyperlink" Target="mailto:daisy@xxexx.cn" TargetMode="External"/><Relationship Id="rId135"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1055;&#1086;&#1083;&#1080;&#1074;&#1072;&#1093;&#1080;&#1085;/&#1056;&#1086;&#1079;&#1077;&#1090;&#1082;&#1080;/Yawei/12/draft%20of%20PI%20order%2012%20(Updated).xlsx" TargetMode="External"/><Relationship Id="rId156"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1043;&#1086;&#1083;&#1091;&#1073;&#1094;&#1086;&#1074;.&#1059;&#1076;&#1083;&#1080;&#1085;&#1080;&#1090;&#1077;&#1083;&#1080;/xianxing/151/WeChat%20Image_20181113133025.jpg" TargetMode="External"/><Relationship Id="rId177" Type="http://schemas.openxmlformats.org/officeDocument/2006/relationships/hyperlink" Target="mailto:daisy@xxexx.cn" TargetMode="External"/><Relationship Id="rId198" Type="http://schemas.openxmlformats.org/officeDocument/2006/relationships/hyperlink" Target="mailto:daisy@xxexx.cn" TargetMode="External"/><Relationship Id="rId321" Type="http://schemas.openxmlformats.org/officeDocument/2006/relationships/hyperlink" Target="mailto:golubcov_a@s3.ru" TargetMode="External"/><Relationship Id="rId342" Type="http://schemas.openxmlformats.org/officeDocument/2006/relationships/hyperlink" Target="mailto:baranov_y@s3.ru" TargetMode="External"/><Relationship Id="rId202"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1043;&#1086;&#1083;&#1091;&#1073;&#1094;&#1086;&#1074;.&#1059;&#1076;&#1083;&#1080;&#1085;&#1080;&#1090;&#1077;&#1083;&#1080;/xianxing/158/signed%20PI.pdf" TargetMode="External"/><Relationship Id="rId223" Type="http://schemas.openxmlformats.org/officeDocument/2006/relationships/hyperlink" Target="mailto:polivahin_a@s3.ru" TargetMode="External"/><Relationship Id="rId244" Type="http://schemas.openxmlformats.org/officeDocument/2006/relationships/hyperlink" Target="mailto:gluh_m@s3.ru" TargetMode="External"/><Relationship Id="rId18" Type="http://schemas.openxmlformats.org/officeDocument/2006/relationships/hyperlink" Target="mailto:daisy@xxexx.cn" TargetMode="External"/><Relationship Id="rId39" Type="http://schemas.openxmlformats.org/officeDocument/2006/relationships/hyperlink" Target="mailto:polivahin_a@s3.ru" TargetMode="External"/><Relationship Id="rId265" Type="http://schemas.openxmlformats.org/officeDocument/2006/relationships/hyperlink" Target="mailto:polivahin_a@s3.ru" TargetMode="External"/><Relationship Id="rId286" Type="http://schemas.openxmlformats.org/officeDocument/2006/relationships/hyperlink" Target="mailto:golubcov_a@s3.ru" TargetMode="External"/><Relationship Id="rId50" Type="http://schemas.openxmlformats.org/officeDocument/2006/relationships/hyperlink" Target="mailto:golubcov_a@s3.ru" TargetMode="External"/><Relationship Id="rId104" Type="http://schemas.openxmlformats.org/officeDocument/2006/relationships/hyperlink" Target="mailto:golubcov_a@s3.ru" TargetMode="External"/><Relationship Id="rId125"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tugov_s/AppData/Roaming/Microsoft/&#1043;&#1086;&#1083;&#1091;&#1073;&#1094;&#1086;&#1074;.&#1059;&#1076;&#1083;&#1080;&#1085;&#1080;&#1090;&#1077;&#1083;&#1080;/xianxing/147/PI%20XX-147.xls" TargetMode="External"/><Relationship Id="rId146" Type="http://schemas.openxmlformats.org/officeDocument/2006/relationships/hyperlink" Target="mailto:gluh_m@s3.ru" TargetMode="External"/><Relationship Id="rId167" Type="http://schemas.openxmlformats.org/officeDocument/2006/relationships/hyperlink" Target="mailto:vancol@vancol.cn" TargetMode="External"/><Relationship Id="rId188" Type="http://schemas.openxmlformats.org/officeDocument/2006/relationships/hyperlink" Target="mailto:baranov_y@s3.ru" TargetMode="External"/><Relationship Id="rId311" Type="http://schemas.openxmlformats.org/officeDocument/2006/relationships/hyperlink" Target="mailto:chernykh_a@s3.ru" TargetMode="External"/><Relationship Id="rId332" Type="http://schemas.openxmlformats.org/officeDocument/2006/relationships/hyperlink" Target="mailto:polivahin_a@s3.ru" TargetMode="External"/><Relationship Id="rId353" Type="http://schemas.openxmlformats.org/officeDocument/2006/relationships/printerSettings" Target="../printerSettings/printerSettings1.bin"/><Relationship Id="rId71"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55;&#1086;&#1083;&#1080;&#1074;&#1072;&#1093;&#1080;&#1085;/&#1056;&#1086;&#1079;&#1077;&#1090;&#1082;&#1080;/JINLI/30/C045-030-PI.pdf" TargetMode="External"/><Relationship Id="rId92"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55;&#1086;&#1083;&#1080;&#1074;&#1072;&#1093;&#1080;&#1085;/&#1056;&#1086;&#1079;&#1077;&#1090;&#1082;&#1080;/JINLI/33/PI-C045-033.pdf" TargetMode="External"/><Relationship Id="rId213" Type="http://schemas.openxmlformats.org/officeDocument/2006/relationships/hyperlink" Target="mailto:daisy@xxexx.cn" TargetMode="External"/><Relationship Id="rId234" Type="http://schemas.openxmlformats.org/officeDocument/2006/relationships/hyperlink" Target="mailto:golubcov_a@s3.ru" TargetMode="External"/><Relationship Id="rId2" Type="http://schemas.openxmlformats.org/officeDocument/2006/relationships/hyperlink" Target="mailto:daisy@xxexx.cn" TargetMode="External"/><Relationship Id="rId29" Type="http://schemas.openxmlformats.org/officeDocument/2006/relationships/hyperlink" Target="mailto:polivahin_a@s3.ru" TargetMode="External"/><Relationship Id="rId255" Type="http://schemas.openxmlformats.org/officeDocument/2006/relationships/hyperlink" Target="mailto:golubcov_a@s3.ru" TargetMode="External"/><Relationship Id="rId276" Type="http://schemas.openxmlformats.org/officeDocument/2006/relationships/hyperlink" Target="mailto:export@jinli.com" TargetMode="External"/><Relationship Id="rId297" Type="http://schemas.openxmlformats.org/officeDocument/2006/relationships/hyperlink" Target="mailto:sales@yaweitai.com" TargetMode="External"/><Relationship Id="rId40" Type="http://schemas.openxmlformats.org/officeDocument/2006/relationships/hyperlink" Target="mailto:polivahin_a@s3.ru" TargetMode="External"/><Relationship Id="rId115"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1055;&#1086;&#1083;&#1080;&#1074;&#1072;&#1093;&#1080;&#1085;/&#1056;&#1086;&#1079;&#1077;&#1090;&#1082;&#1080;/JINLI/37/2018.10.08%20Draft%20of%20docs%20ARISTA-PI-C045-037.xls" TargetMode="External"/><Relationship Id="rId136"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1055;&#1086;&#1083;&#1080;&#1074;&#1072;&#1093;&#1080;&#1085;/&#1056;&#1086;&#1079;&#1077;&#1090;&#1082;&#1080;/Yawei/13/draft%20of%20PI%20order%2013%20production%20date%20will%20be%2012.2018%20REV.xlsx" TargetMode="External"/><Relationship Id="rId157" Type="http://schemas.openxmlformats.org/officeDocument/2006/relationships/hyperlink" Target="mailto:13549788506@163.com" TargetMode="External"/><Relationship Id="rId178" Type="http://schemas.openxmlformats.org/officeDocument/2006/relationships/hyperlink" Target="mailto:daisy@xxexx.cn" TargetMode="External"/><Relationship Id="rId301" Type="http://schemas.openxmlformats.org/officeDocument/2006/relationships/hyperlink" Target="mailto:daisy@xxexx.cn" TargetMode="External"/><Relationship Id="rId322" Type="http://schemas.openxmlformats.org/officeDocument/2006/relationships/hyperlink" Target="mailto:chernykh_a@s3.ru" TargetMode="External"/><Relationship Id="rId343" Type="http://schemas.openxmlformats.org/officeDocument/2006/relationships/hyperlink" Target="mailto:export@jinli.com" TargetMode="External"/><Relationship Id="rId61" Type="http://schemas.openxmlformats.org/officeDocument/2006/relationships/hyperlink" Target="mailto:golubcov_a@s3.ru" TargetMode="External"/><Relationship Id="rId82" Type="http://schemas.openxmlformats.org/officeDocument/2006/relationships/hyperlink" Target="mailto:daisy@xxexx.cn" TargetMode="External"/><Relationship Id="rId199" Type="http://schemas.openxmlformats.org/officeDocument/2006/relationships/hyperlink" Target="mailto:daisy@xxexx.cn" TargetMode="External"/><Relationship Id="rId203"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Microsoft/&#1043;&#1086;&#1083;&#1091;&#1073;&#1094;&#1086;&#1074;.&#1059;&#1076;&#1083;&#1080;&#1085;&#1080;&#1090;&#1077;&#1083;&#1080;/xianxing/158/signed%20PI.pdf" TargetMode="External"/><Relationship Id="rId19" Type="http://schemas.openxmlformats.org/officeDocument/2006/relationships/hyperlink" Target="mailto:sales02@changangroup.com.cn" TargetMode="External"/><Relationship Id="rId224"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1060;&#1086;&#1084;&#1080;&#1085;/EUROSIN/3/CDE2019012%20(ORDER%203%20DOCUMENTS).xlsx" TargetMode="External"/><Relationship Id="rId245" Type="http://schemas.openxmlformats.org/officeDocument/2006/relationships/hyperlink" Target="mailto:13549788506@163.com" TargetMode="External"/><Relationship Id="rId266" Type="http://schemas.openxmlformats.org/officeDocument/2006/relationships/hyperlink" Target="mailto:golubcov_a@s3.ru" TargetMode="External"/><Relationship Id="rId287" Type="http://schemas.openxmlformats.org/officeDocument/2006/relationships/hyperlink" Target="mailto:conwell.sales5@conwell.cc" TargetMode="External"/><Relationship Id="rId30" Type="http://schemas.openxmlformats.org/officeDocument/2006/relationships/hyperlink" Target="mailto:polivahin_a@s3.ru" TargetMode="External"/><Relationship Id="rId105"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xianxing/145/&#1055;&#1088;&#1086;&#1092;&#1086;&#1088;&#1084;&#1072;%20145.pdf" TargetMode="External"/><Relationship Id="rId126"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tugov_s/AppData/Roaming/Microsoft/&#1043;&#1086;&#1083;&#1091;&#1073;&#1094;&#1086;&#1074;.&#1059;&#1076;&#1083;&#1080;&#1085;&#1080;&#1090;&#1077;&#1083;&#1080;/xianxing/147/PI%20XX-147.xls" TargetMode="External"/><Relationship Id="rId147" Type="http://schemas.openxmlformats.org/officeDocument/2006/relationships/hyperlink" Target="mailto:conwell.sales5@conwell.cc" TargetMode="External"/><Relationship Id="rId168" Type="http://schemas.openxmlformats.org/officeDocument/2006/relationships/hyperlink" Target="mailto:export@jinli.com" TargetMode="External"/><Relationship Id="rId312" Type="http://schemas.openxmlformats.org/officeDocument/2006/relationships/hyperlink" Target="mailto:sales02@changangroup.com.cn" TargetMode="External"/><Relationship Id="rId333" Type="http://schemas.openxmlformats.org/officeDocument/2006/relationships/hyperlink" Target="mailto:gluh_m@s3.ru" TargetMode="External"/><Relationship Id="rId354" Type="http://schemas.openxmlformats.org/officeDocument/2006/relationships/vmlDrawing" Target="../drawings/vmlDrawing1.vml"/><Relationship Id="rId51" Type="http://schemas.openxmlformats.org/officeDocument/2006/relationships/hyperlink" Target="mailto:daisy@xxexx.cn" TargetMode="External"/><Relationship Id="rId72"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55;&#1086;&#1083;&#1080;&#1074;&#1072;&#1093;&#1080;&#1085;/&#1056;&#1086;&#1079;&#1077;&#1090;&#1082;&#1080;/JINLI/31/C045-031-PI.pdf" TargetMode="External"/><Relationship Id="rId93" Type="http://schemas.openxmlformats.org/officeDocument/2006/relationships/hyperlink" Target="mailto:export@jinli.com" TargetMode="External"/><Relationship Id="rId189" Type="http://schemas.openxmlformats.org/officeDocument/2006/relationships/hyperlink" Target="mailto:sale01@cnbulb.com" TargetMode="External"/><Relationship Id="rId3" Type="http://schemas.openxmlformats.org/officeDocument/2006/relationships/hyperlink" Target="mailto:export@jinli.com" TargetMode="External"/><Relationship Id="rId214" Type="http://schemas.openxmlformats.org/officeDocument/2006/relationships/hyperlink" Target="mailto:daisy@xxexx.cn" TargetMode="External"/><Relationship Id="rId235" Type="http://schemas.openxmlformats.org/officeDocument/2006/relationships/hyperlink" Target="mailto:sales@yaweitai.com" TargetMode="External"/><Relationship Id="rId256" Type="http://schemas.openxmlformats.org/officeDocument/2006/relationships/hyperlink" Target="mailto:kulygina_e@s3.ru" TargetMode="External"/><Relationship Id="rId277" Type="http://schemas.openxmlformats.org/officeDocument/2006/relationships/hyperlink" Target="mailto:polivahin_a@s3.ru" TargetMode="External"/><Relationship Id="rId298" Type="http://schemas.openxmlformats.org/officeDocument/2006/relationships/hyperlink" Target="mailto:polivahin_a@s3.ru" TargetMode="External"/><Relationship Id="rId116" Type="http://schemas.openxmlformats.org/officeDocument/2006/relationships/hyperlink" Target="mailto:gluh_m@s3.ru" TargetMode="External"/><Relationship Id="rId137" Type="http://schemas.openxmlformats.org/officeDocument/2006/relationships/hyperlink" Target="mailto:daisy@xxexx.cn" TargetMode="External"/><Relationship Id="rId158" Type="http://schemas.openxmlformats.org/officeDocument/2006/relationships/hyperlink" Target="mailto:13549788506@163.com" TargetMode="External"/><Relationship Id="rId302" Type="http://schemas.openxmlformats.org/officeDocument/2006/relationships/hyperlink" Target="mailto:13549788506@163.com" TargetMode="External"/><Relationship Id="rId323" Type="http://schemas.openxmlformats.org/officeDocument/2006/relationships/hyperlink" Target="mailto:polivahin_a@s3.ru" TargetMode="External"/><Relationship Id="rId344" Type="http://schemas.openxmlformats.org/officeDocument/2006/relationships/hyperlink" Target="mailto:export@jinli.com" TargetMode="External"/><Relationship Id="rId20" Type="http://schemas.openxmlformats.org/officeDocument/2006/relationships/hyperlink" Target="mailto:daisy@xxexx.cn" TargetMode="External"/><Relationship Id="rId41" Type="http://schemas.openxmlformats.org/officeDocument/2006/relationships/hyperlink" Target="mailto:golubcov_a@s3.ru" TargetMode="External"/><Relationship Id="rId62"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55;&#1086;&#1083;&#1080;&#1074;&#1072;&#1093;&#1080;&#1085;/&#1056;&#1086;&#1079;&#1077;&#1090;&#1082;&#1080;/Yawei/9/PI%20order%209%202018-6-5%20(REV2).pdf" TargetMode="External"/><Relationship Id="rId83" Type="http://schemas.openxmlformats.org/officeDocument/2006/relationships/hyperlink" Target="mailto:daisy@xxexx.cn" TargetMode="External"/><Relationship Id="rId179" Type="http://schemas.openxmlformats.org/officeDocument/2006/relationships/hyperlink" Target="mailto:daisy@xxexx.c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jxcable@hzcable.com" TargetMode="External"/><Relationship Id="rId13" Type="http://schemas.openxmlformats.org/officeDocument/2006/relationships/hyperlink" Target="mailto:hf_cable@hotmail.com" TargetMode="External"/><Relationship Id="rId3" Type="http://schemas.openxmlformats.org/officeDocument/2006/relationships/hyperlink" Target="mailto:sales03@gdght.com" TargetMode="External"/><Relationship Id="rId7" Type="http://schemas.openxmlformats.org/officeDocument/2006/relationships/hyperlink" Target="mailto:sales03@gdght.com" TargetMode="External"/><Relationship Id="rId12" Type="http://schemas.openxmlformats.org/officeDocument/2006/relationships/hyperlink" Target="mailto:aojicn@aojicn.com" TargetMode="External"/><Relationship Id="rId2" Type="http://schemas.openxmlformats.org/officeDocument/2006/relationships/hyperlink" Target="mailto:salesmanager@cntengfei.com" TargetMode="External"/><Relationship Id="rId16" Type="http://schemas.openxmlformats.org/officeDocument/2006/relationships/vmlDrawing" Target="../drawings/vmlDrawing2.vml"/><Relationship Id="rId1" Type="http://schemas.openxmlformats.org/officeDocument/2006/relationships/hyperlink" Target="mailto:sale@allright.cc" TargetMode="External"/><Relationship Id="rId6" Type="http://schemas.openxmlformats.org/officeDocument/2006/relationships/hyperlink" Target="mailto:salesmanager@cntengfei.com" TargetMode="External"/><Relationship Id="rId11" Type="http://schemas.openxmlformats.org/officeDocument/2006/relationships/hyperlink" Target="mailto:sales42@yourlite.com" TargetMode="External"/><Relationship Id="rId5" Type="http://schemas.openxmlformats.org/officeDocument/2006/relationships/hyperlink" Target="mailto:sale@allright.cc" TargetMode="External"/><Relationship Id="rId15" Type="http://schemas.openxmlformats.org/officeDocument/2006/relationships/printerSettings" Target="../printerSettings/printerSettings2.bin"/><Relationship Id="rId10" Type="http://schemas.openxmlformats.org/officeDocument/2006/relationships/hyperlink" Target="mailto:export@jinli.com" TargetMode="External"/><Relationship Id="rId4" Type="http://schemas.openxmlformats.org/officeDocument/2006/relationships/hyperlink" Target="mailto:jxcable@hzcable.com" TargetMode="External"/><Relationship Id="rId9" Type="http://schemas.openxmlformats.org/officeDocument/2006/relationships/hyperlink" Target="mailto:sales@yaweitai.com" TargetMode="External"/><Relationship Id="rId14" Type="http://schemas.openxmlformats.org/officeDocument/2006/relationships/hyperlink" Target="mailto:hf_cable@hotmail.co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mailto:sales42@yourlite.com" TargetMode="External"/><Relationship Id="rId18"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53;&#1086;&#1074;&#1080;&#1082;&#1086;&#1074;&#1072;.&#1047;&#1074;&#1086;&#1085;&#1082;&#1080;/Yusing/13/&#1087;&#1088;&#1086;&#1092;&#1086;&#1088;&#1084;&#1072;%20240518.pdf" TargetMode="External"/><Relationship Id="rId26" Type="http://schemas.openxmlformats.org/officeDocument/2006/relationships/hyperlink" Target="mailto:candy-kaifeng@126.com" TargetMode="External"/><Relationship Id="rId39"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Hunlee%20Youth%20El/27/SCAN%20PI%20of%20order%2027.jpg" TargetMode="External"/><Relationship Id="rId21"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1053;&#1086;&#1074;&#1080;&#1082;&#1086;&#1074;&#1072;.&#1047;&#1074;&#1086;&#1085;&#1082;&#1080;/Yusing/15/YS-15-P19H001.pdf" TargetMode="External"/><Relationship Id="rId34"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Boyang/25/S3&#160;180619%20BNG_025.pdf" TargetMode="External"/><Relationship Id="rId42"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Hunlee%20Youth%20El/33/HL-33%20PI.jpg" TargetMode="External"/><Relationship Id="rId47"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Hunlee%20Youth%20El/28/SCAN%20PI%20of%20order%2028.jpg" TargetMode="External"/><Relationship Id="rId50" Type="http://schemas.openxmlformats.org/officeDocument/2006/relationships/hyperlink" Target="mailto:evteev_s@s3.ru" TargetMode="External"/><Relationship Id="rId55" Type="http://schemas.openxmlformats.org/officeDocument/2006/relationships/hyperlink" Target="mailto:golubcov_a@s3.ru" TargetMode="External"/><Relationship Id="rId63"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1043;&#1086;&#1083;&#1091;&#1073;&#1094;&#1086;&#1074;.&#1059;&#1076;&#1083;&#1080;&#1085;&#1080;&#1090;&#1077;&#1083;&#1080;/Hunlee%20Youth%20El/37/SCAN%20PI%20for%20order%2037%202018-11-16.jpg" TargetMode="External"/><Relationship Id="rId68" Type="http://schemas.openxmlformats.org/officeDocument/2006/relationships/hyperlink" Target="mailto:golubcov_a@s3.ru" TargetMode="External"/><Relationship Id="rId7" Type="http://schemas.openxmlformats.org/officeDocument/2006/relationships/hyperlink" Target="mailto:sales8@luckarm.com" TargetMode="External"/><Relationship Id="rId71" Type="http://schemas.openxmlformats.org/officeDocument/2006/relationships/comments" Target="../comments2.xml"/><Relationship Id="rId2"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1053;&#1086;&#1074;&#1080;&#1082;&#1086;&#1074;&#1072;.&#1047;&#1074;&#1086;&#1085;&#1082;&#1080;/Qiaohua/58/QIAOHUA%20PI_218QSZ1070%20.pdf" TargetMode="External"/><Relationship Id="rId16" Type="http://schemas.openxmlformats.org/officeDocument/2006/relationships/hyperlink" Target="mailto:novikova_n@s3.ru" TargetMode="External"/><Relationship Id="rId29" Type="http://schemas.openxmlformats.org/officeDocument/2006/relationships/hyperlink" Target="mailto:candy-kaifeng@126.com" TargetMode="External"/><Relationship Id="rId1" Type="http://schemas.openxmlformats.org/officeDocument/2006/relationships/hyperlink" Target="mailto:kiki.chen@quhwa.com" TargetMode="External"/><Relationship Id="rId6" Type="http://schemas.openxmlformats.org/officeDocument/2006/relationships/hyperlink" Target="mailto:sales8@luckarm.com" TargetMode="External"/><Relationship Id="rId11" Type="http://schemas.openxmlformats.org/officeDocument/2006/relationships/hyperlink" Target="mailto:sales42@yourlite.com" TargetMode="External"/><Relationship Id="rId24" Type="http://schemas.openxmlformats.org/officeDocument/2006/relationships/hyperlink" Target="mailto:candy-kaifeng@126.com" TargetMode="External"/><Relationship Id="rId32" Type="http://schemas.openxmlformats.org/officeDocument/2006/relationships/hyperlink" Target="mailto:candy-kaifeng@126.com" TargetMode="External"/><Relationship Id="rId37" Type="http://schemas.openxmlformats.org/officeDocument/2006/relationships/hyperlink" Target="mailto:golubcov_a@s3.ru" TargetMode="External"/><Relationship Id="rId40"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Hunlee%20Youth%20El/27/PI27-2.png" TargetMode="External"/><Relationship Id="rId45"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Hunlee%20Youth%20El/29+30/HL%2029%20and%20HL%2030%20signed.pdf" TargetMode="External"/><Relationship Id="rId53" Type="http://schemas.openxmlformats.org/officeDocument/2006/relationships/hyperlink" Target="mailto:golubcov_a@s3.ru" TargetMode="External"/><Relationship Id="rId58"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tugov_s/AppData/Roaming/Microsoft/&#1043;&#1086;&#1083;&#1091;&#1073;&#1094;&#1086;&#1074;.&#1059;&#1076;&#1083;&#1080;&#1085;&#1080;&#1090;&#1077;&#1083;&#1080;/Hunlee%20Youth%20El/35/HL-35%20PI.xls" TargetMode="External"/><Relationship Id="rId66"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1043;&#1086;&#1083;&#1091;&#1073;&#1094;&#1086;&#1074;.&#1059;&#1076;&#1083;&#1080;&#1085;&#1080;&#1090;&#1077;&#1083;&#1080;/Hunlee%20Youth%20El/40/HL-40%20PI.pdf" TargetMode="External"/><Relationship Id="rId5" Type="http://schemas.openxmlformats.org/officeDocument/2006/relationships/hyperlink" Target="mailto:sales8@luckarm.com" TargetMode="External"/><Relationship Id="rId15" Type="http://schemas.openxmlformats.org/officeDocument/2006/relationships/hyperlink" Target="mailto:novikova_n@s3.ru" TargetMode="External"/><Relationship Id="rId23" Type="http://schemas.openxmlformats.org/officeDocument/2006/relationships/hyperlink" Target="mailto:sales42@yourlite.com" TargetMode="External"/><Relationship Id="rId28" Type="http://schemas.openxmlformats.org/officeDocument/2006/relationships/hyperlink" Target="mailto:candy-kaifeng@126.com" TargetMode="External"/><Relationship Id="rId36" Type="http://schemas.openxmlformats.org/officeDocument/2006/relationships/hyperlink" Target="mailto:golubcov_a@s3.ru" TargetMode="External"/><Relationship Id="rId49" Type="http://schemas.openxmlformats.org/officeDocument/2006/relationships/hyperlink" Target="mailto:kopytin_a@s3.ru" TargetMode="External"/><Relationship Id="rId57" Type="http://schemas.openxmlformats.org/officeDocument/2006/relationships/hyperlink" Target="mailto:ziborov_g@s3.ru" TargetMode="External"/><Relationship Id="rId61" Type="http://schemas.openxmlformats.org/officeDocument/2006/relationships/hyperlink" Target="mailto:golubcov_a@s3.ru" TargetMode="External"/><Relationship Id="rId10" Type="http://schemas.openxmlformats.org/officeDocument/2006/relationships/hyperlink" Target="mailto:sales42@yourlite.com" TargetMode="External"/><Relationship Id="rId19" Type="http://schemas.openxmlformats.org/officeDocument/2006/relationships/hyperlink" Target="mailto:sales42@yourlite.com" TargetMode="External"/><Relationship Id="rId31" Type="http://schemas.openxmlformats.org/officeDocument/2006/relationships/hyperlink" Target="mailto:candy-kaifeng@126.com" TargetMode="External"/><Relationship Id="rId44"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tugov_s/AppData/Roaming/Microsoft/&#1043;&#1086;&#1083;&#1091;&#1073;&#1094;&#1086;&#1074;.&#1059;&#1076;&#1083;&#1080;&#1085;&#1080;&#1090;&#1077;&#1083;&#1080;/Hunlee%20Youth%20El/31/HL-31%20PI.xls" TargetMode="External"/><Relationship Id="rId52" Type="http://schemas.openxmlformats.org/officeDocument/2006/relationships/hyperlink" Target="mailto:pronin_a@s3.ru" TargetMode="External"/><Relationship Id="rId60" Type="http://schemas.openxmlformats.org/officeDocument/2006/relationships/hyperlink" Target="mailto:golubcov_a@s3.ru" TargetMode="External"/><Relationship Id="rId65"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1043;&#1086;&#1083;&#1091;&#1073;&#1094;&#1086;&#1074;.&#1059;&#1076;&#1083;&#1080;&#1085;&#1080;&#1090;&#1077;&#1083;&#1080;/Hunlee%20Youth%20El/39/HL-39%20PI.pdf" TargetMode="External"/><Relationship Id="rId4" Type="http://schemas.openxmlformats.org/officeDocument/2006/relationships/hyperlink" Target="mailto:sales8@luckarm.com" TargetMode="External"/><Relationship Id="rId9" Type="http://schemas.openxmlformats.org/officeDocument/2006/relationships/hyperlink" Target="mailto:sales42@yourlite.com" TargetMode="External"/><Relationship Id="rId14" Type="http://schemas.openxmlformats.org/officeDocument/2006/relationships/hyperlink" Target="mailto:sales42@yourlite.com" TargetMode="External"/><Relationship Id="rId22" Type="http://schemas.openxmlformats.org/officeDocument/2006/relationships/hyperlink" Target="mailto:novikova_n@s3.ru" TargetMode="External"/><Relationship Id="rId27" Type="http://schemas.openxmlformats.org/officeDocument/2006/relationships/hyperlink" Target="mailto:candy-kaifeng@126.com" TargetMode="External"/><Relationship Id="rId30" Type="http://schemas.openxmlformats.org/officeDocument/2006/relationships/hyperlink" Target="mailto:candy-kaifeng@126.com" TargetMode="External"/><Relationship Id="rId35" Type="http://schemas.openxmlformats.org/officeDocument/2006/relationships/hyperlink" Target="mailto:golubcov_a@s3.ru" TargetMode="External"/><Relationship Id="rId43"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1043;&#1086;&#1083;&#1091;&#1073;&#1094;&#1086;&#1074;.&#1059;&#1076;&#1083;&#1080;&#1085;&#1080;&#1090;&#1077;&#1083;&#1080;/Hunlee%20Youth%20El/32/SCAN%20PI.jpg" TargetMode="External"/><Relationship Id="rId48" Type="http://schemas.openxmlformats.org/officeDocument/2006/relationships/hyperlink" Target="mailto:kholmov_s@s3.ru" TargetMode="External"/><Relationship Id="rId56"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Hunlee%20Youth%20El/29+30/HL%2029%20and%20HL%2030%20signed.pdf" TargetMode="External"/><Relationship Id="rId64"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1043;&#1086;&#1083;&#1091;&#1073;&#1094;&#1086;&#1074;.&#1059;&#1076;&#1083;&#1080;&#1085;&#1080;&#1090;&#1077;&#1083;&#1080;/Hunlee%20Youth%20El/38/HL-38%20PI.pdf" TargetMode="External"/><Relationship Id="rId69" Type="http://schemas.openxmlformats.org/officeDocument/2006/relationships/hyperlink" Target="mailto:golubcov_a@s3.ru" TargetMode="External"/><Relationship Id="rId8" Type="http://schemas.openxmlformats.org/officeDocument/2006/relationships/hyperlink" Target="mailto:novikova_n@s3.ru" TargetMode="External"/><Relationship Id="rId51" Type="http://schemas.openxmlformats.org/officeDocument/2006/relationships/hyperlink" Target="mailto:ziborov_g@s3.ru" TargetMode="External"/><Relationship Id="rId3"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1053;&#1086;&#1074;&#1080;&#1082;&#1086;&#1074;&#1072;.&#1047;&#1074;&#1086;&#1085;&#1082;&#1080;/Qiaohua/59/QIAOHUA%20PI_219QHSZ0170.pdf" TargetMode="External"/><Relationship Id="rId12" Type="http://schemas.openxmlformats.org/officeDocument/2006/relationships/hyperlink" Target="mailto:sales42@yourlite.com" TargetMode="External"/><Relationship Id="rId17"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tugov_s/AppData/Roaming/Microsoft/&#1053;&#1086;&#1074;&#1080;&#1082;&#1086;&#1074;&#1072;.&#1047;&#1074;&#1086;&#1085;&#1082;&#1080;/Yusing/14/&#1055;&#1088;&#1086;&#1092;&#1086;&#1088;&#1084;&#1072;.pdf" TargetMode="External"/><Relationship Id="rId25" Type="http://schemas.openxmlformats.org/officeDocument/2006/relationships/hyperlink" Target="mailto:candy-kaifeng@126.com" TargetMode="External"/><Relationship Id="rId33" Type="http://schemas.openxmlformats.org/officeDocument/2006/relationships/hyperlink" Target="mailto:candy-kaifeng@126.com" TargetMode="External"/><Relationship Id="rId38" Type="http://schemas.openxmlformats.org/officeDocument/2006/relationships/hyperlink" Target="mailto:golubcov_a@s3.ru" TargetMode="External"/><Relationship Id="rId46"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Users/&#1043;&#1086;&#1083;&#1091;&#1073;&#1094;&#1086;&#1074;.&#1059;&#1076;&#1083;&#1080;&#1085;&#1080;&#1090;&#1077;&#1083;&#1080;/Hunlee%20Youth%20El/29+30/HL%2029%20and%20HL%2030%20signed.pdf" TargetMode="External"/><Relationship Id="rId59"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Roaming/Microsoft/&#1043;&#1086;&#1083;&#1091;&#1073;&#1094;&#1086;&#1074;.&#1059;&#1076;&#1083;&#1080;&#1085;&#1080;&#1090;&#1077;&#1083;&#1080;/Hunlee%20Youth%20El/36/HL-36%20PI.xls" TargetMode="External"/><Relationship Id="rId67" Type="http://schemas.openxmlformats.org/officeDocument/2006/relationships/hyperlink" Target="mailto:golubcov_a@s3.ru" TargetMode="External"/><Relationship Id="rId20" Type="http://schemas.openxmlformats.org/officeDocument/2006/relationships/hyperlink" Target="mailto:novikova_n@s3.ru" TargetMode="External"/><Relationship Id="rId41" Type="http://schemas.openxmlformats.org/officeDocument/2006/relationships/hyperlink" Target="mailto:golubcov_a@s3.ru" TargetMode="External"/><Relationship Id="rId54" Type="http://schemas.openxmlformats.org/officeDocument/2006/relationships/hyperlink" Target="../AppData/Roaming/Microsoft/AppData/Roaming/Microsoft/AppData/Roaming/Microsoft/Users/tugov_s/AppData/Roaming/Microsoft/Users/tugov_s/AppData/Roaming/Microsoft/Users/tugov_s/AppData/Roaming/Microsoft/Users/tugov_s/AppData/Roaming/Microsoft/Users/tugov_s/AppData/Roaming/Microsoft/Users/tugov_s/AppData/Roaming/&#1043;&#1086;&#1083;&#1091;&#1073;&#1094;&#1086;&#1074;.&#1059;&#1076;&#1083;&#1080;&#1085;&#1080;&#1090;&#1077;&#1083;&#1080;/Hunlee%20Youth%20El/33/HL-33%20PI.jpg" TargetMode="External"/><Relationship Id="rId62" Type="http://schemas.openxmlformats.org/officeDocument/2006/relationships/hyperlink" Target="mailto:golubcov_a@s3.ru" TargetMode="External"/><Relationship Id="rId70"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sheetPr codeName="List1">
    <pageSetUpPr fitToPage="1"/>
  </sheetPr>
  <dimension ref="A1:AW327"/>
  <sheetViews>
    <sheetView tabSelected="1" zoomScale="70" zoomScaleNormal="70" workbookViewId="0">
      <pane ySplit="2" topLeftCell="A256" activePane="bottomLeft" state="frozen"/>
      <selection pane="bottomLeft" activeCell="U265" sqref="U265"/>
    </sheetView>
  </sheetViews>
  <sheetFormatPr defaultColWidth="8.875" defaultRowHeight="15"/>
  <cols>
    <col min="1" max="1" width="8.875" style="233" customWidth="1"/>
    <col min="2" max="2" width="10.875" style="234" customWidth="1"/>
    <col min="3" max="4" width="6.75" style="234" customWidth="1"/>
    <col min="5" max="5" width="16.625" style="234" customWidth="1"/>
    <col min="6" max="6" width="6.625" style="234" customWidth="1"/>
    <col min="7" max="7" width="5" style="234" customWidth="1"/>
    <col min="8" max="8" width="7.25" style="235" customWidth="1"/>
    <col min="9" max="9" width="2.75" style="234" hidden="1" customWidth="1"/>
    <col min="10" max="10" width="2.125" style="234" hidden="1" customWidth="1"/>
    <col min="11" max="11" width="6.375" style="234" customWidth="1"/>
    <col min="12" max="12" width="10.75" style="362" customWidth="1"/>
    <col min="13" max="13" width="11.875" style="363" customWidth="1"/>
    <col min="14" max="14" width="11" style="364" customWidth="1"/>
    <col min="15" max="15" width="4.75" style="362" hidden="1" customWidth="1"/>
    <col min="16" max="16" width="15" style="364" hidden="1" customWidth="1"/>
    <col min="17" max="17" width="10.75" style="364" hidden="1" customWidth="1"/>
    <col min="18" max="18" width="12.875" style="364" hidden="1" customWidth="1"/>
    <col min="19" max="19" width="11.75" style="364" hidden="1" customWidth="1"/>
    <col min="20" max="20" width="1.875" style="364" hidden="1" customWidth="1"/>
    <col min="21" max="21" width="13.125" style="364" customWidth="1"/>
    <col min="22" max="22" width="11.125" style="365" customWidth="1"/>
    <col min="23" max="23" width="10.875" style="364" customWidth="1"/>
    <col min="24" max="24" width="12.875" style="364" customWidth="1"/>
    <col min="25" max="25" width="16.625" style="364" customWidth="1"/>
    <col min="26" max="27" width="11.875" style="364" hidden="1" customWidth="1"/>
    <col min="28" max="28" width="12.625" style="364" customWidth="1"/>
    <col min="29" max="29" width="10.75" style="238" customWidth="1"/>
    <col min="30" max="30" width="8.25" style="239" hidden="1" customWidth="1"/>
    <col min="31" max="31" width="47.875" style="240" customWidth="1"/>
    <col min="32" max="32" width="19" style="240" customWidth="1"/>
    <col min="33" max="33" width="13" style="240" customWidth="1"/>
    <col min="34" max="35" width="10.25" style="240" customWidth="1"/>
    <col min="36" max="36" width="15.375" style="240" customWidth="1"/>
    <col min="37" max="37" width="11" style="240" customWidth="1"/>
    <col min="38" max="38" width="10.25" style="2" customWidth="1"/>
    <col min="39" max="39" width="12.25" style="2" customWidth="1"/>
    <col min="40" max="40" width="8.875" style="2"/>
    <col min="41" max="41" width="53" style="2" customWidth="1"/>
    <col min="42" max="42" width="13.375" style="2" customWidth="1"/>
    <col min="43" max="45" width="8.875" style="2"/>
    <col min="46" max="46" width="12.125" style="2" bestFit="1" customWidth="1"/>
    <col min="47" max="16384" width="8.875" style="2"/>
  </cols>
  <sheetData>
    <row r="1" spans="1:42" ht="18.75" customHeight="1"/>
    <row r="2" spans="1:42" s="1" customFormat="1" ht="59.25" customHeight="1">
      <c r="A2" s="241" t="s">
        <v>0</v>
      </c>
      <c r="B2" s="241" t="s">
        <v>1</v>
      </c>
      <c r="C2" s="241" t="s">
        <v>137</v>
      </c>
      <c r="D2" s="241" t="s">
        <v>149</v>
      </c>
      <c r="E2" s="241" t="s">
        <v>125</v>
      </c>
      <c r="F2" s="241" t="s">
        <v>154</v>
      </c>
      <c r="G2" s="241" t="s">
        <v>3</v>
      </c>
      <c r="H2" s="242" t="s">
        <v>2</v>
      </c>
      <c r="I2" s="241" t="s">
        <v>5</v>
      </c>
      <c r="J2" s="241" t="s">
        <v>6</v>
      </c>
      <c r="K2" s="241" t="s">
        <v>61</v>
      </c>
      <c r="L2" s="366" t="s">
        <v>7</v>
      </c>
      <c r="M2" s="367" t="s">
        <v>9</v>
      </c>
      <c r="N2" s="368" t="s">
        <v>8</v>
      </c>
      <c r="O2" s="366" t="s">
        <v>158</v>
      </c>
      <c r="P2" s="368" t="s">
        <v>44</v>
      </c>
      <c r="Q2" s="368" t="s">
        <v>161</v>
      </c>
      <c r="R2" s="368" t="s">
        <v>12</v>
      </c>
      <c r="S2" s="369" t="s">
        <v>506</v>
      </c>
      <c r="T2" s="369"/>
      <c r="U2" s="369" t="s">
        <v>42</v>
      </c>
      <c r="V2" s="368" t="s">
        <v>164</v>
      </c>
      <c r="W2" s="369" t="s">
        <v>43</v>
      </c>
      <c r="X2" s="369" t="s">
        <v>13</v>
      </c>
      <c r="Y2" s="369" t="s">
        <v>14</v>
      </c>
      <c r="Z2" s="369" t="s">
        <v>100</v>
      </c>
      <c r="AA2" s="369" t="s">
        <v>110</v>
      </c>
      <c r="AB2" s="370" t="s">
        <v>10</v>
      </c>
      <c r="AC2" s="243" t="s">
        <v>165</v>
      </c>
      <c r="AD2" s="244" t="s">
        <v>66</v>
      </c>
      <c r="AE2" s="233" t="s">
        <v>67</v>
      </c>
      <c r="AF2" s="245"/>
      <c r="AG2" s="246" t="s">
        <v>45</v>
      </c>
      <c r="AH2" s="246" t="s">
        <v>99</v>
      </c>
      <c r="AI2" s="246" t="s">
        <v>101</v>
      </c>
      <c r="AJ2" s="233" t="s">
        <v>167</v>
      </c>
      <c r="AK2" s="233"/>
      <c r="AL2" s="11"/>
      <c r="AM2" s="11"/>
      <c r="AN2" s="11"/>
      <c r="AO2" s="11"/>
      <c r="AP2" s="11"/>
    </row>
    <row r="3" spans="1:42" ht="13.5" customHeight="1">
      <c r="A3" s="247" t="s">
        <v>300</v>
      </c>
      <c r="B3" s="247" t="s">
        <v>16</v>
      </c>
      <c r="C3" s="247" t="s">
        <v>138</v>
      </c>
      <c r="D3" s="247" t="s">
        <v>115</v>
      </c>
      <c r="E3" s="248" t="s">
        <v>126</v>
      </c>
      <c r="F3" s="248" t="s">
        <v>157</v>
      </c>
      <c r="G3" s="247" t="s">
        <v>4</v>
      </c>
      <c r="H3" s="249">
        <v>17</v>
      </c>
      <c r="I3" s="247" t="s">
        <v>11</v>
      </c>
      <c r="J3" s="247" t="s">
        <v>11</v>
      </c>
      <c r="K3" s="247"/>
      <c r="L3" s="371">
        <v>42845</v>
      </c>
      <c r="M3" s="372">
        <v>42964</v>
      </c>
      <c r="N3" s="372" t="s">
        <v>111</v>
      </c>
      <c r="O3" s="371">
        <v>30</v>
      </c>
      <c r="P3" s="373">
        <f t="shared" ref="P3:P38" si="0">M3-O3</f>
        <v>42934</v>
      </c>
      <c r="Q3" s="374" t="str">
        <f t="shared" ref="Q3:Q24" ca="1" si="1">IF(P3&gt;=TODAY()-5,IF(P3&lt;TODAY()+6,"Пора отправлять","Еще рано"),"Уже не актуально")</f>
        <v>Уже не актуально</v>
      </c>
      <c r="R3" s="375" t="s">
        <v>11</v>
      </c>
      <c r="S3" s="376" t="s">
        <v>196</v>
      </c>
      <c r="T3" s="376"/>
      <c r="U3" s="372">
        <v>42964</v>
      </c>
      <c r="V3" s="374" t="str">
        <f ca="1">IF(U3&gt;TODAY(),IF(U3&lt;TODAY()+17,"Пора отправлять","Еще рано"),"Уже не актуально")</f>
        <v>Уже не актуально</v>
      </c>
      <c r="W3" s="372">
        <v>42964</v>
      </c>
      <c r="X3" s="372">
        <v>42964</v>
      </c>
      <c r="Y3" s="372">
        <v>42964</v>
      </c>
      <c r="Z3" s="372">
        <v>43055</v>
      </c>
      <c r="AA3" s="372" t="s">
        <v>111</v>
      </c>
      <c r="AB3" s="377">
        <v>42965</v>
      </c>
      <c r="AC3" s="250" t="str">
        <f ca="1">IF(AB3&lt;TODAY()-5,IF(AB3="","Еще рано","Уже не актуально"),IF(AB3&gt;TODAY()-2,"Еще рано","Пора отправлять"))</f>
        <v>Уже не актуально</v>
      </c>
      <c r="AD3" s="251">
        <f t="shared" ref="AD3:AD38" si="2">AB3-M3</f>
        <v>1</v>
      </c>
      <c r="AE3" s="252"/>
      <c r="AF3" s="234"/>
      <c r="AG3" s="253">
        <f ca="1">TODAY()</f>
        <v>43922</v>
      </c>
      <c r="AH3" s="254"/>
      <c r="AI3" s="254"/>
      <c r="AJ3" s="255"/>
      <c r="AK3" s="255" t="s">
        <v>317</v>
      </c>
    </row>
    <row r="4" spans="1:42" ht="54.95" hidden="1" customHeight="1">
      <c r="A4" s="247" t="s">
        <v>300</v>
      </c>
      <c r="B4" s="247" t="s">
        <v>16</v>
      </c>
      <c r="C4" s="247" t="s">
        <v>138</v>
      </c>
      <c r="D4" s="247" t="s">
        <v>115</v>
      </c>
      <c r="E4" s="248" t="s">
        <v>126</v>
      </c>
      <c r="F4" s="248" t="s">
        <v>157</v>
      </c>
      <c r="G4" s="247" t="s">
        <v>4</v>
      </c>
      <c r="H4" s="249" t="s">
        <v>155</v>
      </c>
      <c r="I4" s="247" t="s">
        <v>11</v>
      </c>
      <c r="J4" s="247" t="s">
        <v>11</v>
      </c>
      <c r="K4" s="247">
        <v>51.5</v>
      </c>
      <c r="L4" s="371">
        <v>42900</v>
      </c>
      <c r="M4" s="372">
        <v>42962</v>
      </c>
      <c r="N4" s="376">
        <v>42996</v>
      </c>
      <c r="O4" s="371">
        <v>30</v>
      </c>
      <c r="P4" s="373">
        <f t="shared" si="0"/>
        <v>42932</v>
      </c>
      <c r="Q4" s="374" t="str">
        <f t="shared" ca="1" si="1"/>
        <v>Уже не актуально</v>
      </c>
      <c r="R4" s="375" t="s">
        <v>11</v>
      </c>
      <c r="S4" s="376"/>
      <c r="T4" s="376"/>
      <c r="U4" s="372">
        <v>43003</v>
      </c>
      <c r="V4" s="374" t="str">
        <f ca="1">IF(U4&gt;TODAY(),IF(U4&lt;TODAY()+17,"Пора отправлять","Еще рано"),"Уже не актуально")</f>
        <v>Уже не актуально</v>
      </c>
      <c r="W4" s="372">
        <v>43028</v>
      </c>
      <c r="X4" s="372" t="s">
        <v>107</v>
      </c>
      <c r="Y4" s="375" t="s">
        <v>106</v>
      </c>
      <c r="Z4" s="372" t="s">
        <v>134</v>
      </c>
      <c r="AA4" s="372">
        <v>43057</v>
      </c>
      <c r="AB4" s="377">
        <v>43066</v>
      </c>
      <c r="AC4" s="250" t="s">
        <v>169</v>
      </c>
      <c r="AD4" s="251">
        <f t="shared" si="2"/>
        <v>104</v>
      </c>
      <c r="AE4" s="256" t="s">
        <v>69</v>
      </c>
      <c r="AF4" s="256" t="s">
        <v>82</v>
      </c>
      <c r="AG4" s="253">
        <f ca="1">TODAY()</f>
        <v>43922</v>
      </c>
      <c r="AH4" s="253">
        <f ca="1">AG4-14</f>
        <v>43908</v>
      </c>
      <c r="AI4" s="253">
        <f ca="1">AG4+17</f>
        <v>43939</v>
      </c>
      <c r="AJ4" s="255"/>
      <c r="AK4" s="255" t="s">
        <v>317</v>
      </c>
      <c r="AL4" s="42"/>
    </row>
    <row r="5" spans="1:42" ht="54.95" hidden="1" customHeight="1">
      <c r="A5" s="247" t="s">
        <v>300</v>
      </c>
      <c r="B5" s="247" t="s">
        <v>16</v>
      </c>
      <c r="C5" s="247" t="s">
        <v>138</v>
      </c>
      <c r="D5" s="247" t="s">
        <v>115</v>
      </c>
      <c r="E5" s="248" t="s">
        <v>126</v>
      </c>
      <c r="F5" s="248" t="s">
        <v>157</v>
      </c>
      <c r="G5" s="247" t="s">
        <v>4</v>
      </c>
      <c r="H5" s="249" t="s">
        <v>156</v>
      </c>
      <c r="I5" s="247"/>
      <c r="J5" s="247"/>
      <c r="K5" s="247">
        <v>18.5</v>
      </c>
      <c r="L5" s="371">
        <v>42900</v>
      </c>
      <c r="M5" s="372">
        <v>42962</v>
      </c>
      <c r="N5" s="376">
        <v>42996</v>
      </c>
      <c r="O5" s="371">
        <v>30</v>
      </c>
      <c r="P5" s="373">
        <f t="shared" si="0"/>
        <v>42932</v>
      </c>
      <c r="Q5" s="374" t="str">
        <f t="shared" ca="1" si="1"/>
        <v>Уже не актуально</v>
      </c>
      <c r="R5" s="375" t="s">
        <v>11</v>
      </c>
      <c r="S5" s="376"/>
      <c r="T5" s="376"/>
      <c r="U5" s="372">
        <v>43068</v>
      </c>
      <c r="V5" s="374" t="s">
        <v>163</v>
      </c>
      <c r="W5" s="372">
        <v>43069</v>
      </c>
      <c r="X5" s="372">
        <v>43071</v>
      </c>
      <c r="Y5" s="372">
        <v>43071</v>
      </c>
      <c r="Z5" s="372">
        <v>43055</v>
      </c>
      <c r="AA5" s="372">
        <v>43066</v>
      </c>
      <c r="AB5" s="377">
        <v>43072</v>
      </c>
      <c r="AC5" s="250" t="s">
        <v>189</v>
      </c>
      <c r="AD5" s="251">
        <f t="shared" si="2"/>
        <v>110</v>
      </c>
      <c r="AE5" s="478" t="s">
        <v>113</v>
      </c>
      <c r="AF5" s="478"/>
      <c r="AG5" s="253"/>
      <c r="AH5" s="253"/>
      <c r="AI5" s="253"/>
      <c r="AJ5" s="257"/>
      <c r="AK5" s="255" t="s">
        <v>317</v>
      </c>
      <c r="AL5" s="42"/>
      <c r="AM5" s="40"/>
      <c r="AN5" s="40"/>
      <c r="AO5" s="40"/>
      <c r="AP5" s="42"/>
    </row>
    <row r="6" spans="1:42" ht="54.95" customHeight="1">
      <c r="A6" s="247" t="s">
        <v>300</v>
      </c>
      <c r="B6" s="247" t="s">
        <v>16</v>
      </c>
      <c r="C6" s="247" t="s">
        <v>138</v>
      </c>
      <c r="D6" s="247" t="s">
        <v>115</v>
      </c>
      <c r="E6" s="248" t="s">
        <v>126</v>
      </c>
      <c r="F6" s="360"/>
      <c r="G6" s="359" t="s">
        <v>879</v>
      </c>
      <c r="H6" s="361" t="s">
        <v>880</v>
      </c>
      <c r="I6" s="359"/>
      <c r="J6" s="359"/>
      <c r="K6" s="359"/>
      <c r="L6" s="378"/>
      <c r="M6" s="372"/>
      <c r="N6" s="379"/>
      <c r="O6" s="378"/>
      <c r="P6" s="373"/>
      <c r="Q6" s="374"/>
      <c r="R6" s="380"/>
      <c r="S6" s="376"/>
      <c r="T6" s="379"/>
      <c r="U6" s="381">
        <v>43936</v>
      </c>
      <c r="V6" s="374"/>
      <c r="W6" s="381"/>
      <c r="X6" s="381"/>
      <c r="Y6" s="381"/>
      <c r="Z6" s="381"/>
      <c r="AA6" s="382"/>
      <c r="AB6" s="382"/>
      <c r="AC6" s="250"/>
      <c r="AD6" s="251"/>
      <c r="AE6" s="256"/>
      <c r="AF6" s="256"/>
      <c r="AG6" s="253"/>
      <c r="AH6" s="253"/>
      <c r="AI6" s="253"/>
      <c r="AJ6" s="257"/>
      <c r="AK6" s="255"/>
      <c r="AL6" s="42"/>
      <c r="AM6" s="231"/>
      <c r="AN6" s="231"/>
      <c r="AO6" s="231"/>
      <c r="AP6" s="42"/>
    </row>
    <row r="7" spans="1:42" ht="54.95" customHeight="1">
      <c r="A7" s="247" t="s">
        <v>300</v>
      </c>
      <c r="B7" s="247" t="s">
        <v>16</v>
      </c>
      <c r="C7" s="247" t="s">
        <v>138</v>
      </c>
      <c r="D7" s="247" t="s">
        <v>115</v>
      </c>
      <c r="E7" s="248" t="s">
        <v>126</v>
      </c>
      <c r="F7" s="360"/>
      <c r="G7" s="359" t="s">
        <v>879</v>
      </c>
      <c r="H7" s="361" t="s">
        <v>881</v>
      </c>
      <c r="I7" s="359"/>
      <c r="J7" s="359"/>
      <c r="K7" s="359"/>
      <c r="L7" s="378"/>
      <c r="M7" s="372"/>
      <c r="N7" s="379"/>
      <c r="O7" s="378"/>
      <c r="P7" s="373"/>
      <c r="Q7" s="374"/>
      <c r="R7" s="380"/>
      <c r="S7" s="376"/>
      <c r="T7" s="379"/>
      <c r="U7" s="381"/>
      <c r="V7" s="374"/>
      <c r="W7" s="381"/>
      <c r="X7" s="381"/>
      <c r="Y7" s="381"/>
      <c r="Z7" s="381"/>
      <c r="AA7" s="382"/>
      <c r="AB7" s="382"/>
      <c r="AC7" s="250"/>
      <c r="AD7" s="251"/>
      <c r="AE7" s="256"/>
      <c r="AF7" s="256"/>
      <c r="AG7" s="253"/>
      <c r="AH7" s="253"/>
      <c r="AI7" s="253"/>
      <c r="AJ7" s="257"/>
      <c r="AK7" s="255"/>
      <c r="AL7" s="42"/>
      <c r="AM7" s="231"/>
      <c r="AN7" s="231"/>
      <c r="AO7" s="231"/>
      <c r="AP7" s="42"/>
    </row>
    <row r="8" spans="1:42" ht="54.95" customHeight="1">
      <c r="A8" s="247" t="s">
        <v>300</v>
      </c>
      <c r="B8" s="247" t="s">
        <v>16</v>
      </c>
      <c r="C8" s="247" t="s">
        <v>138</v>
      </c>
      <c r="D8" s="247" t="s">
        <v>115</v>
      </c>
      <c r="E8" s="248" t="s">
        <v>126</v>
      </c>
      <c r="F8" s="360"/>
      <c r="G8" s="359" t="s">
        <v>879</v>
      </c>
      <c r="H8" s="361" t="s">
        <v>882</v>
      </c>
      <c r="I8" s="359"/>
      <c r="J8" s="359"/>
      <c r="K8" s="359"/>
      <c r="L8" s="378"/>
      <c r="M8" s="372"/>
      <c r="N8" s="379"/>
      <c r="O8" s="378"/>
      <c r="P8" s="373"/>
      <c r="Q8" s="374"/>
      <c r="R8" s="380"/>
      <c r="S8" s="376"/>
      <c r="T8" s="379"/>
      <c r="U8" s="381"/>
      <c r="V8" s="374"/>
      <c r="W8" s="381"/>
      <c r="X8" s="381"/>
      <c r="Y8" s="381"/>
      <c r="Z8" s="381"/>
      <c r="AA8" s="382"/>
      <c r="AB8" s="382"/>
      <c r="AC8" s="250"/>
      <c r="AD8" s="251"/>
      <c r="AE8" s="256"/>
      <c r="AF8" s="256"/>
      <c r="AG8" s="253"/>
      <c r="AH8" s="253"/>
      <c r="AI8" s="253"/>
      <c r="AJ8" s="257"/>
      <c r="AK8" s="255"/>
      <c r="AL8" s="42"/>
      <c r="AM8" s="231"/>
      <c r="AN8" s="231"/>
      <c r="AO8" s="231"/>
      <c r="AP8" s="42"/>
    </row>
    <row r="9" spans="1:42" ht="54.95" customHeight="1">
      <c r="A9" s="247" t="s">
        <v>300</v>
      </c>
      <c r="B9" s="247" t="s">
        <v>16</v>
      </c>
      <c r="C9" s="247" t="s">
        <v>138</v>
      </c>
      <c r="D9" s="247" t="s">
        <v>115</v>
      </c>
      <c r="E9" s="248" t="s">
        <v>126</v>
      </c>
      <c r="F9" s="360"/>
      <c r="G9" s="359" t="s">
        <v>879</v>
      </c>
      <c r="H9" s="361" t="s">
        <v>883</v>
      </c>
      <c r="I9" s="359"/>
      <c r="J9" s="359"/>
      <c r="K9" s="359"/>
      <c r="L9" s="378"/>
      <c r="M9" s="372"/>
      <c r="N9" s="379"/>
      <c r="O9" s="378"/>
      <c r="P9" s="373"/>
      <c r="Q9" s="374"/>
      <c r="R9" s="380"/>
      <c r="S9" s="376"/>
      <c r="T9" s="379"/>
      <c r="U9" s="381"/>
      <c r="V9" s="374"/>
      <c r="W9" s="381"/>
      <c r="X9" s="381"/>
      <c r="Y9" s="381"/>
      <c r="Z9" s="381"/>
      <c r="AA9" s="382"/>
      <c r="AB9" s="382"/>
      <c r="AC9" s="250"/>
      <c r="AD9" s="251"/>
      <c r="AE9" s="256"/>
      <c r="AF9" s="256"/>
      <c r="AG9" s="253"/>
      <c r="AH9" s="253"/>
      <c r="AI9" s="253"/>
      <c r="AJ9" s="257"/>
      <c r="AK9" s="255"/>
      <c r="AL9" s="42"/>
      <c r="AM9" s="231"/>
      <c r="AN9" s="231"/>
      <c r="AO9" s="231"/>
      <c r="AP9" s="42"/>
    </row>
    <row r="10" spans="1:42" ht="72.75" customHeight="1">
      <c r="A10" s="258" t="s">
        <v>300</v>
      </c>
      <c r="B10" s="259" t="s">
        <v>19</v>
      </c>
      <c r="C10" s="258" t="s">
        <v>140</v>
      </c>
      <c r="D10" s="260" t="s">
        <v>117</v>
      </c>
      <c r="E10" s="261" t="s">
        <v>128</v>
      </c>
      <c r="F10" s="262" t="s">
        <v>157</v>
      </c>
      <c r="G10" s="259" t="s">
        <v>4</v>
      </c>
      <c r="H10" s="263" t="s">
        <v>56</v>
      </c>
      <c r="I10" s="259" t="s">
        <v>11</v>
      </c>
      <c r="J10" s="259" t="s">
        <v>11</v>
      </c>
      <c r="K10" s="259"/>
      <c r="L10" s="383">
        <v>42837</v>
      </c>
      <c r="M10" s="372">
        <f>L10+90</f>
        <v>42927</v>
      </c>
      <c r="N10" s="379">
        <v>42979</v>
      </c>
      <c r="O10" s="379">
        <v>45</v>
      </c>
      <c r="P10" s="373">
        <f t="shared" si="0"/>
        <v>42882</v>
      </c>
      <c r="Q10" s="374" t="str">
        <f t="shared" ca="1" si="1"/>
        <v>Уже не актуально</v>
      </c>
      <c r="R10" s="380" t="s">
        <v>11</v>
      </c>
      <c r="S10" s="376" t="s">
        <v>196</v>
      </c>
      <c r="T10" s="379"/>
      <c r="U10" s="381">
        <v>42979</v>
      </c>
      <c r="V10" s="374" t="str">
        <f t="shared" ref="V10:V20" ca="1" si="3">IF(U10&gt;TODAY(),IF(U10&lt;TODAY()+17,"Пора отправлять","Еще рано"),"Уже не актуально")</f>
        <v>Уже не актуально</v>
      </c>
      <c r="W10" s="381">
        <v>42979</v>
      </c>
      <c r="X10" s="379">
        <v>42979</v>
      </c>
      <c r="Y10" s="379">
        <v>42983</v>
      </c>
      <c r="Z10" s="379">
        <v>42983</v>
      </c>
      <c r="AA10" s="384" t="s">
        <v>111</v>
      </c>
      <c r="AB10" s="384">
        <v>42984</v>
      </c>
      <c r="AC10" s="250" t="str">
        <f t="shared" ref="AC10:AC19" ca="1" si="4">IF(AB10&lt;TODAY()-5,IF(AB10="","Еще рано","Уже не актуально"),IF(AB10&gt;TODAY()-2,"Еще рано","Пора отправлять"))</f>
        <v>Уже не актуально</v>
      </c>
      <c r="AD10" s="251">
        <f t="shared" si="2"/>
        <v>57</v>
      </c>
      <c r="AE10" s="234" t="s">
        <v>68</v>
      </c>
      <c r="AF10" s="234" t="s">
        <v>234</v>
      </c>
      <c r="AG10" s="237"/>
      <c r="AH10" s="236"/>
      <c r="AK10" s="255" t="s">
        <v>317</v>
      </c>
      <c r="AL10" s="40"/>
    </row>
    <row r="11" spans="1:42" ht="39" hidden="1" customHeight="1">
      <c r="A11" s="265" t="s">
        <v>300</v>
      </c>
      <c r="B11" s="266" t="s">
        <v>19</v>
      </c>
      <c r="C11" s="267" t="s">
        <v>140</v>
      </c>
      <c r="D11" s="268" t="s">
        <v>117</v>
      </c>
      <c r="E11" s="269" t="s">
        <v>128</v>
      </c>
      <c r="F11" s="270" t="s">
        <v>157</v>
      </c>
      <c r="G11" s="266" t="s">
        <v>4</v>
      </c>
      <c r="H11" s="271" t="s">
        <v>57</v>
      </c>
      <c r="I11" s="266"/>
      <c r="J11" s="266"/>
      <c r="K11" s="266"/>
      <c r="L11" s="379">
        <v>42837</v>
      </c>
      <c r="M11" s="372">
        <f>L11+90</f>
        <v>42927</v>
      </c>
      <c r="N11" s="379">
        <v>42979</v>
      </c>
      <c r="O11" s="379">
        <v>45</v>
      </c>
      <c r="P11" s="373">
        <f t="shared" si="0"/>
        <v>42882</v>
      </c>
      <c r="Q11" s="374" t="str">
        <f t="shared" ca="1" si="1"/>
        <v>Уже не актуально</v>
      </c>
      <c r="R11" s="375" t="s">
        <v>11</v>
      </c>
      <c r="S11" s="376" t="s">
        <v>196</v>
      </c>
      <c r="T11" s="379"/>
      <c r="U11" s="381">
        <v>42986</v>
      </c>
      <c r="V11" s="374" t="str">
        <f t="shared" ca="1" si="3"/>
        <v>Уже не актуально</v>
      </c>
      <c r="W11" s="372">
        <v>42986</v>
      </c>
      <c r="X11" s="379">
        <v>42986</v>
      </c>
      <c r="Y11" s="379">
        <v>42987</v>
      </c>
      <c r="Z11" s="379">
        <v>42987</v>
      </c>
      <c r="AA11" s="384" t="s">
        <v>111</v>
      </c>
      <c r="AB11" s="384">
        <v>42987</v>
      </c>
      <c r="AC11" s="250" t="str">
        <f t="shared" ca="1" si="4"/>
        <v>Уже не актуально</v>
      </c>
      <c r="AD11" s="251">
        <f t="shared" si="2"/>
        <v>60</v>
      </c>
      <c r="AE11" s="234" t="s">
        <v>68</v>
      </c>
      <c r="AF11" s="234"/>
      <c r="AG11" s="237"/>
      <c r="AH11" s="236"/>
      <c r="AK11" s="255" t="s">
        <v>317</v>
      </c>
      <c r="AL11" s="40"/>
    </row>
    <row r="12" spans="1:42" ht="44.45" hidden="1" customHeight="1">
      <c r="A12" s="265" t="s">
        <v>300</v>
      </c>
      <c r="B12" s="266" t="s">
        <v>19</v>
      </c>
      <c r="C12" s="267" t="s">
        <v>140</v>
      </c>
      <c r="D12" s="268" t="s">
        <v>117</v>
      </c>
      <c r="E12" s="269" t="s">
        <v>128</v>
      </c>
      <c r="F12" s="270" t="s">
        <v>157</v>
      </c>
      <c r="G12" s="266" t="s">
        <v>4</v>
      </c>
      <c r="H12" s="271" t="s">
        <v>58</v>
      </c>
      <c r="I12" s="266"/>
      <c r="J12" s="266"/>
      <c r="K12" s="266"/>
      <c r="L12" s="379">
        <v>42837</v>
      </c>
      <c r="M12" s="372">
        <f>L12+90</f>
        <v>42927</v>
      </c>
      <c r="N12" s="379">
        <v>42979</v>
      </c>
      <c r="O12" s="379">
        <v>45</v>
      </c>
      <c r="P12" s="373">
        <f t="shared" si="0"/>
        <v>42882</v>
      </c>
      <c r="Q12" s="374" t="str">
        <f t="shared" ca="1" si="1"/>
        <v>Уже не актуально</v>
      </c>
      <c r="R12" s="375" t="s">
        <v>11</v>
      </c>
      <c r="S12" s="376" t="s">
        <v>196</v>
      </c>
      <c r="T12" s="379"/>
      <c r="U12" s="381">
        <v>42993</v>
      </c>
      <c r="V12" s="374" t="str">
        <f t="shared" ca="1" si="3"/>
        <v>Уже не актуально</v>
      </c>
      <c r="W12" s="372">
        <v>42998</v>
      </c>
      <c r="X12" s="379">
        <v>42998</v>
      </c>
      <c r="Y12" s="379">
        <v>42999</v>
      </c>
      <c r="Z12" s="379">
        <v>42999</v>
      </c>
      <c r="AA12" s="384" t="s">
        <v>111</v>
      </c>
      <c r="AB12" s="384">
        <v>43003</v>
      </c>
      <c r="AC12" s="250" t="str">
        <f t="shared" ca="1" si="4"/>
        <v>Уже не актуально</v>
      </c>
      <c r="AD12" s="251">
        <f t="shared" si="2"/>
        <v>76</v>
      </c>
      <c r="AE12" s="234" t="s">
        <v>68</v>
      </c>
      <c r="AF12" s="234"/>
      <c r="AG12" s="237"/>
      <c r="AH12" s="236"/>
      <c r="AK12" s="255" t="s">
        <v>317</v>
      </c>
      <c r="AL12" s="40"/>
    </row>
    <row r="13" spans="1:42" ht="24.6" hidden="1" customHeight="1">
      <c r="A13" s="265" t="s">
        <v>300</v>
      </c>
      <c r="B13" s="267" t="s">
        <v>19</v>
      </c>
      <c r="C13" s="267" t="s">
        <v>140</v>
      </c>
      <c r="D13" s="268" t="s">
        <v>117</v>
      </c>
      <c r="E13" s="269" t="s">
        <v>128</v>
      </c>
      <c r="F13" s="270" t="s">
        <v>157</v>
      </c>
      <c r="G13" s="266" t="s">
        <v>4</v>
      </c>
      <c r="H13" s="272" t="s">
        <v>62</v>
      </c>
      <c r="I13" s="273" t="s">
        <v>11</v>
      </c>
      <c r="J13" s="273" t="s">
        <v>11</v>
      </c>
      <c r="K13" s="267">
        <v>100</v>
      </c>
      <c r="L13" s="376">
        <v>42871</v>
      </c>
      <c r="M13" s="372">
        <v>42946</v>
      </c>
      <c r="N13" s="376">
        <v>42979</v>
      </c>
      <c r="O13" s="376">
        <v>45</v>
      </c>
      <c r="P13" s="373">
        <f t="shared" si="0"/>
        <v>42901</v>
      </c>
      <c r="Q13" s="374" t="str">
        <f t="shared" ca="1" si="1"/>
        <v>Уже не актуально</v>
      </c>
      <c r="R13" s="375" t="s">
        <v>11</v>
      </c>
      <c r="S13" s="376" t="s">
        <v>196</v>
      </c>
      <c r="T13" s="376"/>
      <c r="U13" s="372">
        <v>43006</v>
      </c>
      <c r="V13" s="374" t="str">
        <f t="shared" ca="1" si="3"/>
        <v>Уже не актуально</v>
      </c>
      <c r="W13" s="372" t="s">
        <v>65</v>
      </c>
      <c r="X13" s="376">
        <v>43008</v>
      </c>
      <c r="Y13" s="376">
        <v>43019</v>
      </c>
      <c r="Z13" s="376">
        <v>43019</v>
      </c>
      <c r="AA13" s="384" t="s">
        <v>111</v>
      </c>
      <c r="AB13" s="385">
        <v>43019</v>
      </c>
      <c r="AC13" s="250" t="str">
        <f t="shared" ca="1" si="4"/>
        <v>Уже не актуально</v>
      </c>
      <c r="AD13" s="251">
        <f t="shared" si="2"/>
        <v>73</v>
      </c>
      <c r="AE13" s="234" t="s">
        <v>68</v>
      </c>
      <c r="AF13" s="234" t="s">
        <v>236</v>
      </c>
      <c r="AG13" s="237"/>
      <c r="AH13" s="236"/>
      <c r="AK13" s="255" t="s">
        <v>317</v>
      </c>
      <c r="AL13" s="40"/>
    </row>
    <row r="14" spans="1:42" ht="24.6" hidden="1" customHeight="1">
      <c r="A14" s="265" t="s">
        <v>300</v>
      </c>
      <c r="B14" s="267" t="s">
        <v>19</v>
      </c>
      <c r="C14" s="267" t="s">
        <v>140</v>
      </c>
      <c r="D14" s="268" t="s">
        <v>117</v>
      </c>
      <c r="E14" s="269" t="s">
        <v>128</v>
      </c>
      <c r="F14" s="270" t="s">
        <v>157</v>
      </c>
      <c r="G14" s="266" t="s">
        <v>4</v>
      </c>
      <c r="H14" s="272" t="s">
        <v>63</v>
      </c>
      <c r="I14" s="273" t="s">
        <v>11</v>
      </c>
      <c r="J14" s="273" t="s">
        <v>11</v>
      </c>
      <c r="K14" s="267">
        <v>100</v>
      </c>
      <c r="L14" s="376">
        <v>42871</v>
      </c>
      <c r="M14" s="372">
        <v>42946</v>
      </c>
      <c r="N14" s="376">
        <v>42979</v>
      </c>
      <c r="O14" s="376">
        <v>45</v>
      </c>
      <c r="P14" s="373">
        <f t="shared" si="0"/>
        <v>42901</v>
      </c>
      <c r="Q14" s="374" t="str">
        <f t="shared" ca="1" si="1"/>
        <v>Уже не актуально</v>
      </c>
      <c r="R14" s="375" t="s">
        <v>11</v>
      </c>
      <c r="S14" s="376" t="s">
        <v>196</v>
      </c>
      <c r="T14" s="376"/>
      <c r="U14" s="372">
        <v>43006</v>
      </c>
      <c r="V14" s="374" t="str">
        <f t="shared" ca="1" si="3"/>
        <v>Уже не актуально</v>
      </c>
      <c r="W14" s="372" t="s">
        <v>79</v>
      </c>
      <c r="X14" s="376">
        <v>43038</v>
      </c>
      <c r="Y14" s="376">
        <v>43038</v>
      </c>
      <c r="Z14" s="384" t="s">
        <v>111</v>
      </c>
      <c r="AA14" s="384" t="s">
        <v>111</v>
      </c>
      <c r="AB14" s="385">
        <v>43039</v>
      </c>
      <c r="AC14" s="250" t="str">
        <f t="shared" ca="1" si="4"/>
        <v>Уже не актуально</v>
      </c>
      <c r="AD14" s="251">
        <f t="shared" si="2"/>
        <v>93</v>
      </c>
      <c r="AE14" s="234" t="s">
        <v>68</v>
      </c>
      <c r="AF14" s="234" t="s">
        <v>236</v>
      </c>
      <c r="AG14" s="237"/>
      <c r="AH14" s="236"/>
      <c r="AK14" s="255" t="s">
        <v>317</v>
      </c>
      <c r="AL14" s="40"/>
    </row>
    <row r="15" spans="1:42" ht="24.6" hidden="1" customHeight="1">
      <c r="A15" s="265" t="s">
        <v>300</v>
      </c>
      <c r="B15" s="267" t="s">
        <v>19</v>
      </c>
      <c r="C15" s="267" t="s">
        <v>140</v>
      </c>
      <c r="D15" s="268" t="s">
        <v>117</v>
      </c>
      <c r="E15" s="269" t="s">
        <v>128</v>
      </c>
      <c r="F15" s="270" t="s">
        <v>157</v>
      </c>
      <c r="G15" s="266" t="s">
        <v>4</v>
      </c>
      <c r="H15" s="272" t="s">
        <v>78</v>
      </c>
      <c r="I15" s="273"/>
      <c r="J15" s="273"/>
      <c r="K15" s="267">
        <v>84</v>
      </c>
      <c r="L15" s="376">
        <v>42871</v>
      </c>
      <c r="M15" s="372">
        <v>42946</v>
      </c>
      <c r="N15" s="376">
        <v>42979</v>
      </c>
      <c r="O15" s="376">
        <v>45</v>
      </c>
      <c r="P15" s="373">
        <f t="shared" si="0"/>
        <v>42901</v>
      </c>
      <c r="Q15" s="374" t="str">
        <f t="shared" ca="1" si="1"/>
        <v>Уже не актуально</v>
      </c>
      <c r="R15" s="375" t="s">
        <v>11</v>
      </c>
      <c r="S15" s="376" t="s">
        <v>196</v>
      </c>
      <c r="T15" s="376"/>
      <c r="U15" s="372">
        <v>43006</v>
      </c>
      <c r="V15" s="374" t="str">
        <f t="shared" ca="1" si="3"/>
        <v>Уже не актуально</v>
      </c>
      <c r="W15" s="372" t="s">
        <v>79</v>
      </c>
      <c r="X15" s="376">
        <v>43027</v>
      </c>
      <c r="Y15" s="376">
        <v>43031</v>
      </c>
      <c r="Z15" s="384" t="s">
        <v>111</v>
      </c>
      <c r="AA15" s="384" t="s">
        <v>111</v>
      </c>
      <c r="AB15" s="385">
        <v>43039</v>
      </c>
      <c r="AC15" s="250" t="str">
        <f t="shared" ca="1" si="4"/>
        <v>Уже не актуально</v>
      </c>
      <c r="AD15" s="251">
        <f t="shared" si="2"/>
        <v>93</v>
      </c>
      <c r="AE15" s="234" t="s">
        <v>68</v>
      </c>
      <c r="AF15" s="234" t="s">
        <v>236</v>
      </c>
      <c r="AG15" s="237"/>
      <c r="AH15" s="236"/>
      <c r="AK15" s="255" t="s">
        <v>317</v>
      </c>
      <c r="AL15" s="40"/>
    </row>
    <row r="16" spans="1:42" ht="15" hidden="1" customHeight="1">
      <c r="A16" s="265" t="s">
        <v>300</v>
      </c>
      <c r="B16" s="267" t="s">
        <v>19</v>
      </c>
      <c r="C16" s="267" t="s">
        <v>140</v>
      </c>
      <c r="D16" s="268" t="s">
        <v>117</v>
      </c>
      <c r="E16" s="269" t="s">
        <v>128</v>
      </c>
      <c r="F16" s="270" t="s">
        <v>157</v>
      </c>
      <c r="G16" s="267" t="s">
        <v>46</v>
      </c>
      <c r="H16" s="272" t="s">
        <v>73</v>
      </c>
      <c r="I16" s="273" t="s">
        <v>11</v>
      </c>
      <c r="J16" s="273" t="s">
        <v>11</v>
      </c>
      <c r="K16" s="267">
        <v>170</v>
      </c>
      <c r="L16" s="376">
        <v>42900</v>
      </c>
      <c r="M16" s="372">
        <v>43013</v>
      </c>
      <c r="N16" s="376">
        <v>42979</v>
      </c>
      <c r="O16" s="376">
        <v>45</v>
      </c>
      <c r="P16" s="373">
        <f t="shared" si="0"/>
        <v>42968</v>
      </c>
      <c r="Q16" s="374" t="str">
        <f t="shared" ca="1" si="1"/>
        <v>Уже не актуально</v>
      </c>
      <c r="R16" s="375" t="s">
        <v>11</v>
      </c>
      <c r="S16" s="376" t="s">
        <v>196</v>
      </c>
      <c r="T16" s="376"/>
      <c r="U16" s="372">
        <v>43048</v>
      </c>
      <c r="V16" s="374" t="str">
        <f t="shared" ca="1" si="3"/>
        <v>Уже не актуально</v>
      </c>
      <c r="W16" s="372">
        <v>43019</v>
      </c>
      <c r="X16" s="376">
        <v>43019</v>
      </c>
      <c r="Y16" s="376" t="s">
        <v>190</v>
      </c>
      <c r="Z16" s="384" t="s">
        <v>111</v>
      </c>
      <c r="AA16" s="384" t="s">
        <v>111</v>
      </c>
      <c r="AB16" s="385">
        <v>43034</v>
      </c>
      <c r="AC16" s="250" t="str">
        <f t="shared" ca="1" si="4"/>
        <v>Уже не актуально</v>
      </c>
      <c r="AD16" s="251">
        <f t="shared" si="2"/>
        <v>21</v>
      </c>
      <c r="AE16" s="234" t="s">
        <v>96</v>
      </c>
      <c r="AF16" s="234" t="s">
        <v>236</v>
      </c>
      <c r="AG16" s="237"/>
      <c r="AH16" s="236"/>
      <c r="AK16" s="255" t="s">
        <v>317</v>
      </c>
      <c r="AL16" s="40"/>
    </row>
    <row r="17" spans="1:38" ht="15" hidden="1" customHeight="1">
      <c r="A17" s="265" t="s">
        <v>300</v>
      </c>
      <c r="B17" s="267" t="s">
        <v>19</v>
      </c>
      <c r="C17" s="267" t="s">
        <v>140</v>
      </c>
      <c r="D17" s="268" t="s">
        <v>117</v>
      </c>
      <c r="E17" s="269" t="s">
        <v>128</v>
      </c>
      <c r="F17" s="270" t="s">
        <v>157</v>
      </c>
      <c r="G17" s="267" t="s">
        <v>46</v>
      </c>
      <c r="H17" s="272" t="s">
        <v>74</v>
      </c>
      <c r="I17" s="273" t="s">
        <v>11</v>
      </c>
      <c r="J17" s="273" t="s">
        <v>11</v>
      </c>
      <c r="K17" s="267">
        <v>170</v>
      </c>
      <c r="L17" s="376">
        <v>42900</v>
      </c>
      <c r="M17" s="372">
        <v>43013</v>
      </c>
      <c r="N17" s="376">
        <v>42979</v>
      </c>
      <c r="O17" s="376">
        <v>45</v>
      </c>
      <c r="P17" s="373">
        <f t="shared" si="0"/>
        <v>42968</v>
      </c>
      <c r="Q17" s="374" t="str">
        <f t="shared" ca="1" si="1"/>
        <v>Уже не актуально</v>
      </c>
      <c r="R17" s="375" t="s">
        <v>11</v>
      </c>
      <c r="S17" s="376" t="s">
        <v>196</v>
      </c>
      <c r="T17" s="376"/>
      <c r="U17" s="372">
        <f>M17</f>
        <v>43013</v>
      </c>
      <c r="V17" s="374" t="str">
        <f t="shared" ca="1" si="3"/>
        <v>Уже не актуально</v>
      </c>
      <c r="W17" s="372">
        <v>43033</v>
      </c>
      <c r="X17" s="376">
        <v>43035</v>
      </c>
      <c r="Y17" s="384" t="s">
        <v>111</v>
      </c>
      <c r="Z17" s="384" t="s">
        <v>111</v>
      </c>
      <c r="AA17" s="384" t="s">
        <v>111</v>
      </c>
      <c r="AB17" s="385">
        <v>43039</v>
      </c>
      <c r="AC17" s="250" t="str">
        <f t="shared" ca="1" si="4"/>
        <v>Уже не актуально</v>
      </c>
      <c r="AD17" s="251">
        <f t="shared" si="2"/>
        <v>26</v>
      </c>
      <c r="AE17" s="234" t="s">
        <v>96</v>
      </c>
      <c r="AF17" s="234"/>
      <c r="AG17" s="237"/>
      <c r="AH17" s="236"/>
      <c r="AK17" s="255" t="s">
        <v>317</v>
      </c>
      <c r="AL17" s="40"/>
    </row>
    <row r="18" spans="1:38" ht="15" hidden="1" customHeight="1">
      <c r="A18" s="265" t="s">
        <v>300</v>
      </c>
      <c r="B18" s="267" t="s">
        <v>19</v>
      </c>
      <c r="C18" s="267" t="s">
        <v>140</v>
      </c>
      <c r="D18" s="268" t="s">
        <v>117</v>
      </c>
      <c r="E18" s="269" t="s">
        <v>128</v>
      </c>
      <c r="F18" s="270" t="s">
        <v>157</v>
      </c>
      <c r="G18" s="267" t="s">
        <v>46</v>
      </c>
      <c r="H18" s="272" t="s">
        <v>75</v>
      </c>
      <c r="I18" s="273" t="s">
        <v>11</v>
      </c>
      <c r="J18" s="273" t="s">
        <v>11</v>
      </c>
      <c r="K18" s="267">
        <v>170</v>
      </c>
      <c r="L18" s="376">
        <v>42900</v>
      </c>
      <c r="M18" s="372">
        <v>43013</v>
      </c>
      <c r="N18" s="376">
        <v>42979</v>
      </c>
      <c r="O18" s="376">
        <v>45</v>
      </c>
      <c r="P18" s="373">
        <f t="shared" si="0"/>
        <v>42968</v>
      </c>
      <c r="Q18" s="374" t="str">
        <f t="shared" ca="1" si="1"/>
        <v>Уже не актуально</v>
      </c>
      <c r="R18" s="375" t="s">
        <v>11</v>
      </c>
      <c r="S18" s="376" t="s">
        <v>196</v>
      </c>
      <c r="T18" s="376"/>
      <c r="U18" s="372">
        <f>M18</f>
        <v>43013</v>
      </c>
      <c r="V18" s="374" t="str">
        <f t="shared" ca="1" si="3"/>
        <v>Уже не актуально</v>
      </c>
      <c r="W18" s="372">
        <v>43033</v>
      </c>
      <c r="X18" s="376">
        <v>43035</v>
      </c>
      <c r="Y18" s="384" t="s">
        <v>111</v>
      </c>
      <c r="Z18" s="384" t="s">
        <v>111</v>
      </c>
      <c r="AA18" s="384" t="s">
        <v>111</v>
      </c>
      <c r="AB18" s="385">
        <v>43039</v>
      </c>
      <c r="AC18" s="250" t="str">
        <f t="shared" ca="1" si="4"/>
        <v>Уже не актуально</v>
      </c>
      <c r="AD18" s="251">
        <f t="shared" si="2"/>
        <v>26</v>
      </c>
      <c r="AE18" s="234" t="s">
        <v>96</v>
      </c>
      <c r="AF18" s="234"/>
      <c r="AG18" s="237"/>
      <c r="AH18" s="236"/>
      <c r="AK18" s="255" t="s">
        <v>317</v>
      </c>
      <c r="AL18" s="40"/>
    </row>
    <row r="19" spans="1:38" ht="15" hidden="1" customHeight="1">
      <c r="A19" s="265" t="s">
        <v>300</v>
      </c>
      <c r="B19" s="267" t="s">
        <v>19</v>
      </c>
      <c r="C19" s="267" t="s">
        <v>140</v>
      </c>
      <c r="D19" s="268" t="s">
        <v>117</v>
      </c>
      <c r="E19" s="269" t="s">
        <v>128</v>
      </c>
      <c r="F19" s="270" t="s">
        <v>157</v>
      </c>
      <c r="G19" s="267" t="s">
        <v>46</v>
      </c>
      <c r="H19" s="272" t="s">
        <v>81</v>
      </c>
      <c r="I19" s="273" t="s">
        <v>11</v>
      </c>
      <c r="J19" s="273" t="s">
        <v>11</v>
      </c>
      <c r="K19" s="267">
        <v>90</v>
      </c>
      <c r="L19" s="376">
        <v>42948</v>
      </c>
      <c r="M19" s="372">
        <v>43018</v>
      </c>
      <c r="N19" s="376">
        <v>42979</v>
      </c>
      <c r="O19" s="376">
        <v>45</v>
      </c>
      <c r="P19" s="373">
        <f t="shared" si="0"/>
        <v>42973</v>
      </c>
      <c r="Q19" s="374" t="str">
        <f t="shared" ca="1" si="1"/>
        <v>Уже не актуально</v>
      </c>
      <c r="R19" s="375" t="s">
        <v>11</v>
      </c>
      <c r="S19" s="376" t="s">
        <v>196</v>
      </c>
      <c r="T19" s="376"/>
      <c r="U19" s="372">
        <v>43008</v>
      </c>
      <c r="V19" s="374" t="str">
        <f t="shared" ca="1" si="3"/>
        <v>Уже не актуально</v>
      </c>
      <c r="W19" s="372">
        <v>43040</v>
      </c>
      <c r="X19" s="376">
        <v>43042</v>
      </c>
      <c r="Y19" s="384" t="s">
        <v>111</v>
      </c>
      <c r="Z19" s="384" t="s">
        <v>111</v>
      </c>
      <c r="AA19" s="384" t="s">
        <v>111</v>
      </c>
      <c r="AB19" s="385">
        <v>43047</v>
      </c>
      <c r="AC19" s="250" t="str">
        <f t="shared" ca="1" si="4"/>
        <v>Уже не актуально</v>
      </c>
      <c r="AD19" s="251">
        <f t="shared" si="2"/>
        <v>29</v>
      </c>
      <c r="AE19" s="234" t="s">
        <v>96</v>
      </c>
      <c r="AF19" s="234"/>
      <c r="AG19" s="237"/>
      <c r="AH19" s="236"/>
      <c r="AK19" s="255" t="s">
        <v>317</v>
      </c>
      <c r="AL19" s="40"/>
    </row>
    <row r="20" spans="1:38" ht="54.95" hidden="1" customHeight="1">
      <c r="A20" s="265" t="s">
        <v>300</v>
      </c>
      <c r="B20" s="267" t="s">
        <v>19</v>
      </c>
      <c r="C20" s="267" t="s">
        <v>140</v>
      </c>
      <c r="D20" s="268" t="s">
        <v>117</v>
      </c>
      <c r="E20" s="269" t="s">
        <v>218</v>
      </c>
      <c r="F20" s="270" t="s">
        <v>157</v>
      </c>
      <c r="G20" s="267" t="s">
        <v>46</v>
      </c>
      <c r="H20" s="272" t="s">
        <v>80</v>
      </c>
      <c r="I20" s="267"/>
      <c r="J20" s="267"/>
      <c r="K20" s="267">
        <v>90</v>
      </c>
      <c r="L20" s="376">
        <v>42948</v>
      </c>
      <c r="M20" s="372">
        <v>43018</v>
      </c>
      <c r="N20" s="376">
        <v>42979</v>
      </c>
      <c r="O20" s="376">
        <v>45</v>
      </c>
      <c r="P20" s="373">
        <f t="shared" si="0"/>
        <v>42973</v>
      </c>
      <c r="Q20" s="374" t="str">
        <f t="shared" ca="1" si="1"/>
        <v>Уже не актуально</v>
      </c>
      <c r="R20" s="375" t="s">
        <v>11</v>
      </c>
      <c r="S20" s="376" t="s">
        <v>196</v>
      </c>
      <c r="T20" s="376"/>
      <c r="U20" s="372">
        <v>43044</v>
      </c>
      <c r="V20" s="374" t="str">
        <f t="shared" ca="1" si="3"/>
        <v>Уже не актуально</v>
      </c>
      <c r="W20" s="372">
        <v>43052</v>
      </c>
      <c r="X20" s="376">
        <v>43053</v>
      </c>
      <c r="Y20" s="375">
        <v>43053</v>
      </c>
      <c r="Z20" s="376">
        <v>43054</v>
      </c>
      <c r="AA20" s="376">
        <v>43056</v>
      </c>
      <c r="AB20" s="385">
        <v>43061</v>
      </c>
      <c r="AC20" s="250" t="s">
        <v>163</v>
      </c>
      <c r="AD20" s="251">
        <f t="shared" si="2"/>
        <v>43</v>
      </c>
      <c r="AE20" s="234" t="s">
        <v>103</v>
      </c>
      <c r="AF20" s="234" t="s">
        <v>109</v>
      </c>
      <c r="AG20" s="237"/>
      <c r="AH20" s="236"/>
      <c r="AJ20" s="234" t="s">
        <v>136</v>
      </c>
      <c r="AK20" s="255" t="s">
        <v>317</v>
      </c>
      <c r="AL20" s="42"/>
    </row>
    <row r="21" spans="1:38" ht="54.95" hidden="1" customHeight="1">
      <c r="A21" s="265" t="s">
        <v>300</v>
      </c>
      <c r="B21" s="267" t="s">
        <v>19</v>
      </c>
      <c r="C21" s="267" t="s">
        <v>140</v>
      </c>
      <c r="D21" s="268" t="s">
        <v>117</v>
      </c>
      <c r="E21" s="269" t="s">
        <v>218</v>
      </c>
      <c r="F21" s="270" t="s">
        <v>157</v>
      </c>
      <c r="G21" s="267" t="s">
        <v>46</v>
      </c>
      <c r="H21" s="272" t="s">
        <v>150</v>
      </c>
      <c r="I21" s="267"/>
      <c r="J21" s="267"/>
      <c r="K21" s="267">
        <v>1</v>
      </c>
      <c r="L21" s="376">
        <v>43015</v>
      </c>
      <c r="M21" s="372">
        <v>43074</v>
      </c>
      <c r="N21" s="376">
        <v>43034</v>
      </c>
      <c r="O21" s="376">
        <v>45</v>
      </c>
      <c r="P21" s="373">
        <f t="shared" si="0"/>
        <v>43029</v>
      </c>
      <c r="Q21" s="374" t="str">
        <f t="shared" ca="1" si="1"/>
        <v>Уже не актуально</v>
      </c>
      <c r="R21" s="375" t="s">
        <v>11</v>
      </c>
      <c r="S21" s="376" t="s">
        <v>196</v>
      </c>
      <c r="T21" s="376"/>
      <c r="U21" s="372">
        <v>43069</v>
      </c>
      <c r="V21" s="374" t="s">
        <v>163</v>
      </c>
      <c r="W21" s="372">
        <v>43069</v>
      </c>
      <c r="X21" s="376">
        <v>43071</v>
      </c>
      <c r="Y21" s="376">
        <v>43073</v>
      </c>
      <c r="Z21" s="376">
        <v>43059</v>
      </c>
      <c r="AA21" s="376">
        <v>43067</v>
      </c>
      <c r="AB21" s="385">
        <v>43072</v>
      </c>
      <c r="AC21" s="250" t="s">
        <v>163</v>
      </c>
      <c r="AD21" s="251">
        <f t="shared" si="2"/>
        <v>-2</v>
      </c>
      <c r="AE21" s="234" t="s">
        <v>187</v>
      </c>
      <c r="AF21" s="234"/>
      <c r="AG21" s="237"/>
      <c r="AH21" s="236"/>
      <c r="AK21" s="255" t="s">
        <v>317</v>
      </c>
      <c r="AL21" s="42"/>
    </row>
    <row r="22" spans="1:38" ht="54.95" hidden="1" customHeight="1">
      <c r="A22" s="265" t="s">
        <v>300</v>
      </c>
      <c r="B22" s="267" t="s">
        <v>19</v>
      </c>
      <c r="C22" s="267" t="s">
        <v>140</v>
      </c>
      <c r="D22" s="268" t="s">
        <v>117</v>
      </c>
      <c r="E22" s="269" t="s">
        <v>218</v>
      </c>
      <c r="F22" s="270" t="s">
        <v>157</v>
      </c>
      <c r="G22" s="267" t="s">
        <v>46</v>
      </c>
      <c r="H22" s="272" t="s">
        <v>151</v>
      </c>
      <c r="I22" s="267"/>
      <c r="J22" s="267"/>
      <c r="K22" s="267">
        <v>2</v>
      </c>
      <c r="L22" s="376">
        <v>43015</v>
      </c>
      <c r="M22" s="372">
        <v>43074</v>
      </c>
      <c r="N22" s="376">
        <v>43034</v>
      </c>
      <c r="O22" s="376">
        <v>45</v>
      </c>
      <c r="P22" s="373">
        <f t="shared" si="0"/>
        <v>43029</v>
      </c>
      <c r="Q22" s="374" t="str">
        <f t="shared" ca="1" si="1"/>
        <v>Уже не актуально</v>
      </c>
      <c r="R22" s="375" t="s">
        <v>11</v>
      </c>
      <c r="S22" s="376" t="s">
        <v>196</v>
      </c>
      <c r="T22" s="376"/>
      <c r="U22" s="372">
        <f>M22</f>
        <v>43074</v>
      </c>
      <c r="V22" s="374" t="s">
        <v>163</v>
      </c>
      <c r="W22" s="372">
        <v>43069</v>
      </c>
      <c r="X22" s="376">
        <v>43071</v>
      </c>
      <c r="Y22" s="376">
        <v>43073</v>
      </c>
      <c r="Z22" s="376">
        <v>43059</v>
      </c>
      <c r="AA22" s="376">
        <v>43067</v>
      </c>
      <c r="AB22" s="385">
        <v>43075</v>
      </c>
      <c r="AC22" s="250" t="s">
        <v>194</v>
      </c>
      <c r="AD22" s="251">
        <f t="shared" si="2"/>
        <v>1</v>
      </c>
      <c r="AE22" s="234"/>
      <c r="AF22" s="234"/>
      <c r="AG22" s="237"/>
      <c r="AH22" s="236"/>
      <c r="AK22" s="255" t="s">
        <v>317</v>
      </c>
      <c r="AL22" s="42"/>
    </row>
    <row r="23" spans="1:38" ht="54.95" hidden="1" customHeight="1">
      <c r="A23" s="265" t="s">
        <v>300</v>
      </c>
      <c r="B23" s="267" t="s">
        <v>19</v>
      </c>
      <c r="C23" s="267" t="s">
        <v>140</v>
      </c>
      <c r="D23" s="268" t="s">
        <v>117</v>
      </c>
      <c r="E23" s="269" t="s">
        <v>218</v>
      </c>
      <c r="F23" s="270" t="s">
        <v>157</v>
      </c>
      <c r="G23" s="267" t="s">
        <v>46</v>
      </c>
      <c r="H23" s="272" t="s">
        <v>152</v>
      </c>
      <c r="I23" s="267"/>
      <c r="J23" s="267"/>
      <c r="K23" s="267">
        <v>3</v>
      </c>
      <c r="L23" s="376">
        <v>43015</v>
      </c>
      <c r="M23" s="372">
        <v>43079</v>
      </c>
      <c r="N23" s="376">
        <v>43034</v>
      </c>
      <c r="O23" s="376">
        <v>45</v>
      </c>
      <c r="P23" s="373">
        <f t="shared" si="0"/>
        <v>43034</v>
      </c>
      <c r="Q23" s="374" t="str">
        <f t="shared" ca="1" si="1"/>
        <v>Уже не актуально</v>
      </c>
      <c r="R23" s="375" t="s">
        <v>11</v>
      </c>
      <c r="S23" s="376" t="s">
        <v>196</v>
      </c>
      <c r="T23" s="376"/>
      <c r="U23" s="372">
        <f>M23</f>
        <v>43079</v>
      </c>
      <c r="V23" s="374" t="s">
        <v>163</v>
      </c>
      <c r="W23" s="372">
        <v>43075</v>
      </c>
      <c r="X23" s="376" t="s">
        <v>177</v>
      </c>
      <c r="Y23" s="376" t="s">
        <v>177</v>
      </c>
      <c r="Z23" s="376">
        <v>43059</v>
      </c>
      <c r="AA23" s="376">
        <v>43067</v>
      </c>
      <c r="AB23" s="385">
        <v>43075</v>
      </c>
      <c r="AC23" s="250" t="s">
        <v>194</v>
      </c>
      <c r="AD23" s="251">
        <f t="shared" si="2"/>
        <v>-4</v>
      </c>
      <c r="AE23" s="234" t="s">
        <v>188</v>
      </c>
      <c r="AF23" s="234"/>
      <c r="AG23" s="237"/>
      <c r="AH23" s="236"/>
      <c r="AK23" s="255" t="s">
        <v>317</v>
      </c>
      <c r="AL23" s="42"/>
    </row>
    <row r="24" spans="1:38" ht="54.95" hidden="1" customHeight="1">
      <c r="A24" s="265" t="s">
        <v>300</v>
      </c>
      <c r="B24" s="267" t="s">
        <v>19</v>
      </c>
      <c r="C24" s="267" t="s">
        <v>140</v>
      </c>
      <c r="D24" s="268" t="s">
        <v>117</v>
      </c>
      <c r="E24" s="269" t="s">
        <v>218</v>
      </c>
      <c r="F24" s="270" t="s">
        <v>157</v>
      </c>
      <c r="G24" s="267" t="s">
        <v>46</v>
      </c>
      <c r="H24" s="272" t="s">
        <v>153</v>
      </c>
      <c r="I24" s="267"/>
      <c r="J24" s="267"/>
      <c r="K24" s="267">
        <v>4</v>
      </c>
      <c r="L24" s="376">
        <v>43015</v>
      </c>
      <c r="M24" s="372">
        <v>43079</v>
      </c>
      <c r="N24" s="376">
        <v>43034</v>
      </c>
      <c r="O24" s="376">
        <v>45</v>
      </c>
      <c r="P24" s="373">
        <f t="shared" si="0"/>
        <v>43034</v>
      </c>
      <c r="Q24" s="374" t="str">
        <f t="shared" ca="1" si="1"/>
        <v>Уже не актуально</v>
      </c>
      <c r="R24" s="375" t="s">
        <v>11</v>
      </c>
      <c r="S24" s="376" t="s">
        <v>196</v>
      </c>
      <c r="T24" s="376"/>
      <c r="U24" s="372">
        <f>M24</f>
        <v>43079</v>
      </c>
      <c r="V24" s="374" t="s">
        <v>163</v>
      </c>
      <c r="W24" s="372">
        <v>43081</v>
      </c>
      <c r="X24" s="376" t="s">
        <v>177</v>
      </c>
      <c r="Y24" s="376" t="s">
        <v>177</v>
      </c>
      <c r="Z24" s="376">
        <v>43059</v>
      </c>
      <c r="AA24" s="376">
        <v>43067</v>
      </c>
      <c r="AB24" s="385">
        <v>43087</v>
      </c>
      <c r="AC24" s="250" t="str">
        <f ca="1">IF(AB24&lt;TODAY()-5,IF(AB24="","Еще рано","Уже не актуально"),IF(AB24&gt;TODAY()-2,"Еще рано","Пора отправлять"))</f>
        <v>Уже не актуально</v>
      </c>
      <c r="AD24" s="251">
        <f t="shared" si="2"/>
        <v>8</v>
      </c>
      <c r="AE24" s="234"/>
      <c r="AF24" s="234"/>
      <c r="AG24" s="237"/>
      <c r="AH24" s="236"/>
      <c r="AK24" s="255" t="s">
        <v>317</v>
      </c>
      <c r="AL24" s="42"/>
    </row>
    <row r="25" spans="1:38" ht="54.95" hidden="1" customHeight="1">
      <c r="A25" s="265" t="s">
        <v>300</v>
      </c>
      <c r="B25" s="267" t="s">
        <v>19</v>
      </c>
      <c r="C25" s="267" t="s">
        <v>140</v>
      </c>
      <c r="D25" s="268" t="s">
        <v>117</v>
      </c>
      <c r="E25" s="269" t="s">
        <v>218</v>
      </c>
      <c r="F25" s="270" t="s">
        <v>157</v>
      </c>
      <c r="G25" s="267" t="s">
        <v>46</v>
      </c>
      <c r="H25" s="272">
        <v>138</v>
      </c>
      <c r="I25" s="267"/>
      <c r="J25" s="267"/>
      <c r="K25" s="274">
        <v>1</v>
      </c>
      <c r="L25" s="376">
        <v>43046</v>
      </c>
      <c r="M25" s="372">
        <v>43110</v>
      </c>
      <c r="N25" s="376">
        <v>43056</v>
      </c>
      <c r="O25" s="376">
        <v>45</v>
      </c>
      <c r="P25" s="373">
        <f t="shared" si="0"/>
        <v>43065</v>
      </c>
      <c r="Q25" s="374" t="s">
        <v>163</v>
      </c>
      <c r="R25" s="375" t="s">
        <v>11</v>
      </c>
      <c r="S25" s="376" t="s">
        <v>196</v>
      </c>
      <c r="T25" s="376"/>
      <c r="U25" s="372">
        <v>43115</v>
      </c>
      <c r="V25" s="374" t="s">
        <v>202</v>
      </c>
      <c r="W25" s="372">
        <v>43105</v>
      </c>
      <c r="X25" s="376">
        <v>43125</v>
      </c>
      <c r="Y25" s="376">
        <v>43125</v>
      </c>
      <c r="Z25" s="376">
        <v>43107</v>
      </c>
      <c r="AA25" s="385">
        <v>43112</v>
      </c>
      <c r="AB25" s="385">
        <v>43139</v>
      </c>
      <c r="AC25" s="250" t="str">
        <f ca="1">IF(AB25&lt;TODAY()-5,IF(AB25="","Еще рано","Уже не актуально"),IF(AB25&gt;TODAY()-2,"Еще рано","Пора отправлять"))</f>
        <v>Уже не актуально</v>
      </c>
      <c r="AD25" s="251">
        <f t="shared" si="2"/>
        <v>29</v>
      </c>
      <c r="AE25" s="252" t="s">
        <v>235</v>
      </c>
      <c r="AF25" s="234"/>
      <c r="AG25" s="237"/>
      <c r="AH25" s="236"/>
      <c r="AK25" s="255" t="s">
        <v>317</v>
      </c>
      <c r="AL25" s="42"/>
    </row>
    <row r="26" spans="1:38" ht="54.95" hidden="1" customHeight="1">
      <c r="A26" s="265" t="s">
        <v>300</v>
      </c>
      <c r="B26" s="267" t="s">
        <v>19</v>
      </c>
      <c r="C26" s="267" t="s">
        <v>140</v>
      </c>
      <c r="D26" s="268" t="s">
        <v>117</v>
      </c>
      <c r="E26" s="269" t="s">
        <v>218</v>
      </c>
      <c r="F26" s="270" t="s">
        <v>157</v>
      </c>
      <c r="G26" s="267" t="s">
        <v>46</v>
      </c>
      <c r="H26" s="272">
        <v>138</v>
      </c>
      <c r="I26" s="267"/>
      <c r="J26" s="267"/>
      <c r="K26" s="274">
        <v>2</v>
      </c>
      <c r="L26" s="376">
        <v>43046</v>
      </c>
      <c r="M26" s="372">
        <v>43110</v>
      </c>
      <c r="N26" s="376">
        <v>43056</v>
      </c>
      <c r="O26" s="376">
        <v>46</v>
      </c>
      <c r="P26" s="373">
        <f t="shared" si="0"/>
        <v>43064</v>
      </c>
      <c r="Q26" s="374" t="s">
        <v>163</v>
      </c>
      <c r="R26" s="375" t="s">
        <v>11</v>
      </c>
      <c r="S26" s="376" t="s">
        <v>196</v>
      </c>
      <c r="T26" s="376"/>
      <c r="U26" s="372">
        <v>43156</v>
      </c>
      <c r="V26" s="374" t="s">
        <v>163</v>
      </c>
      <c r="W26" s="372">
        <v>43151</v>
      </c>
      <c r="X26" s="376">
        <v>43159</v>
      </c>
      <c r="Y26" s="376">
        <v>43159</v>
      </c>
      <c r="Z26" s="376">
        <v>43107</v>
      </c>
      <c r="AA26" s="385">
        <v>43112</v>
      </c>
      <c r="AB26" s="385">
        <v>43159</v>
      </c>
      <c r="AC26" s="250" t="s">
        <v>163</v>
      </c>
      <c r="AD26" s="251">
        <f t="shared" si="2"/>
        <v>49</v>
      </c>
      <c r="AE26" s="252"/>
      <c r="AF26" s="234"/>
      <c r="AG26" s="237"/>
      <c r="AH26" s="236"/>
      <c r="AK26" s="255" t="s">
        <v>317</v>
      </c>
      <c r="AL26" s="42"/>
    </row>
    <row r="27" spans="1:38" ht="54.95" hidden="1" customHeight="1">
      <c r="A27" s="265" t="s">
        <v>300</v>
      </c>
      <c r="B27" s="267" t="s">
        <v>19</v>
      </c>
      <c r="C27" s="267" t="s">
        <v>140</v>
      </c>
      <c r="D27" s="268" t="s">
        <v>117</v>
      </c>
      <c r="E27" s="269" t="s">
        <v>218</v>
      </c>
      <c r="F27" s="270" t="s">
        <v>157</v>
      </c>
      <c r="G27" s="267" t="s">
        <v>46</v>
      </c>
      <c r="H27" s="272">
        <v>138</v>
      </c>
      <c r="I27" s="267"/>
      <c r="J27" s="267"/>
      <c r="K27" s="274">
        <v>3</v>
      </c>
      <c r="L27" s="376">
        <v>43046</v>
      </c>
      <c r="M27" s="372">
        <v>43110</v>
      </c>
      <c r="N27" s="376">
        <v>43056</v>
      </c>
      <c r="O27" s="376">
        <v>46</v>
      </c>
      <c r="P27" s="373">
        <f t="shared" si="0"/>
        <v>43064</v>
      </c>
      <c r="Q27" s="374" t="s">
        <v>163</v>
      </c>
      <c r="R27" s="375" t="s">
        <v>11</v>
      </c>
      <c r="S27" s="376" t="s">
        <v>196</v>
      </c>
      <c r="T27" s="376"/>
      <c r="U27" s="372">
        <v>43116</v>
      </c>
      <c r="V27" s="374" t="s">
        <v>163</v>
      </c>
      <c r="W27" s="372">
        <v>43156</v>
      </c>
      <c r="X27" s="376">
        <v>43159</v>
      </c>
      <c r="Y27" s="376">
        <v>43159</v>
      </c>
      <c r="Z27" s="376">
        <v>43107</v>
      </c>
      <c r="AA27" s="385">
        <v>43112</v>
      </c>
      <c r="AB27" s="385">
        <v>43160</v>
      </c>
      <c r="AC27" s="250" t="s">
        <v>242</v>
      </c>
      <c r="AD27" s="251">
        <f t="shared" si="2"/>
        <v>50</v>
      </c>
      <c r="AE27" s="252"/>
      <c r="AF27" s="234"/>
      <c r="AG27" s="237"/>
      <c r="AH27" s="236"/>
      <c r="AK27" s="255" t="s">
        <v>317</v>
      </c>
      <c r="AL27" s="42"/>
    </row>
    <row r="28" spans="1:38" ht="54.95" hidden="1" customHeight="1">
      <c r="A28" s="265" t="s">
        <v>300</v>
      </c>
      <c r="B28" s="267" t="s">
        <v>19</v>
      </c>
      <c r="C28" s="267" t="s">
        <v>140</v>
      </c>
      <c r="D28" s="268" t="s">
        <v>117</v>
      </c>
      <c r="E28" s="269" t="s">
        <v>218</v>
      </c>
      <c r="F28" s="270" t="s">
        <v>157</v>
      </c>
      <c r="G28" s="267" t="s">
        <v>46</v>
      </c>
      <c r="H28" s="272" t="s">
        <v>91</v>
      </c>
      <c r="I28" s="267"/>
      <c r="J28" s="267"/>
      <c r="K28" s="267"/>
      <c r="L28" s="376">
        <v>43046</v>
      </c>
      <c r="M28" s="372">
        <v>43110</v>
      </c>
      <c r="N28" s="376">
        <v>43056</v>
      </c>
      <c r="O28" s="376">
        <v>45</v>
      </c>
      <c r="P28" s="373">
        <f t="shared" si="0"/>
        <v>43065</v>
      </c>
      <c r="Q28" s="374" t="s">
        <v>163</v>
      </c>
      <c r="R28" s="375" t="s">
        <v>11</v>
      </c>
      <c r="S28" s="376" t="s">
        <v>196</v>
      </c>
      <c r="T28" s="376"/>
      <c r="U28" s="372">
        <v>43115</v>
      </c>
      <c r="V28" s="374" t="s">
        <v>202</v>
      </c>
      <c r="W28" s="372">
        <v>43075</v>
      </c>
      <c r="X28" s="376" t="s">
        <v>177</v>
      </c>
      <c r="Y28" s="376" t="s">
        <v>177</v>
      </c>
      <c r="Z28" s="376">
        <v>43059</v>
      </c>
      <c r="AA28" s="376">
        <v>43067</v>
      </c>
      <c r="AB28" s="385">
        <v>43075</v>
      </c>
      <c r="AC28" s="250" t="str">
        <f ca="1">IF(AB28&lt;TODAY()-5,IF(AB28="","Еще рано","Уже не актуально"),IF(AB28&gt;TODAY()-2,"Еще рано","Пора отправлять"))</f>
        <v>Уже не актуально</v>
      </c>
      <c r="AD28" s="251">
        <f t="shared" si="2"/>
        <v>-35</v>
      </c>
      <c r="AE28" s="252"/>
      <c r="AF28" s="234"/>
      <c r="AG28" s="237"/>
      <c r="AH28" s="236"/>
      <c r="AK28" s="255" t="s">
        <v>317</v>
      </c>
      <c r="AL28" s="40"/>
    </row>
    <row r="29" spans="1:38" ht="54.95" hidden="1" customHeight="1">
      <c r="A29" s="265" t="s">
        <v>300</v>
      </c>
      <c r="B29" s="267" t="s">
        <v>19</v>
      </c>
      <c r="C29" s="267" t="s">
        <v>140</v>
      </c>
      <c r="D29" s="268" t="s">
        <v>117</v>
      </c>
      <c r="E29" s="269" t="s">
        <v>218</v>
      </c>
      <c r="F29" s="270" t="s">
        <v>157</v>
      </c>
      <c r="G29" s="267" t="s">
        <v>46</v>
      </c>
      <c r="H29" s="272" t="s">
        <v>244</v>
      </c>
      <c r="I29" s="267"/>
      <c r="J29" s="267"/>
      <c r="K29" s="267">
        <v>60</v>
      </c>
      <c r="L29" s="376">
        <v>43070</v>
      </c>
      <c r="M29" s="372">
        <v>43169</v>
      </c>
      <c r="N29" s="376">
        <v>43097</v>
      </c>
      <c r="O29" s="376">
        <v>45</v>
      </c>
      <c r="P29" s="373">
        <f t="shared" si="0"/>
        <v>43124</v>
      </c>
      <c r="Q29" s="374" t="s">
        <v>163</v>
      </c>
      <c r="R29" s="375" t="s">
        <v>11</v>
      </c>
      <c r="S29" s="376" t="s">
        <v>196</v>
      </c>
      <c r="T29" s="376"/>
      <c r="U29" s="372">
        <v>43172</v>
      </c>
      <c r="V29" s="374" t="s">
        <v>163</v>
      </c>
      <c r="W29" s="372">
        <v>43174</v>
      </c>
      <c r="X29" s="376">
        <v>43176</v>
      </c>
      <c r="Y29" s="376">
        <v>43176</v>
      </c>
      <c r="Z29" s="376" t="s">
        <v>111</v>
      </c>
      <c r="AA29" s="376" t="s">
        <v>111</v>
      </c>
      <c r="AB29" s="385">
        <v>43180</v>
      </c>
      <c r="AC29" s="250" t="str">
        <f ca="1">IF(AB29&lt;TODAY()-5,IF(AB29="","Еще рано","Уже не актуально"),IF(AB29&gt;TODAY()-2,"Еще рано","Пора отправлять"))</f>
        <v>Уже не актуально</v>
      </c>
      <c r="AD29" s="251">
        <f t="shared" si="2"/>
        <v>11</v>
      </c>
      <c r="AE29" s="234" t="s">
        <v>239</v>
      </c>
      <c r="AF29" s="234"/>
      <c r="AG29" s="237"/>
      <c r="AH29" s="236"/>
      <c r="AK29" s="255" t="s">
        <v>317</v>
      </c>
      <c r="AL29" s="104"/>
    </row>
    <row r="30" spans="1:38" ht="54.95" hidden="1" customHeight="1">
      <c r="A30" s="265" t="s">
        <v>300</v>
      </c>
      <c r="B30" s="267" t="s">
        <v>19</v>
      </c>
      <c r="C30" s="267" t="s">
        <v>140</v>
      </c>
      <c r="D30" s="268" t="s">
        <v>117</v>
      </c>
      <c r="E30" s="269" t="s">
        <v>218</v>
      </c>
      <c r="F30" s="270" t="s">
        <v>157</v>
      </c>
      <c r="G30" s="267" t="s">
        <v>46</v>
      </c>
      <c r="H30" s="272" t="s">
        <v>245</v>
      </c>
      <c r="I30" s="267"/>
      <c r="J30" s="267"/>
      <c r="K30" s="267">
        <v>60</v>
      </c>
      <c r="L30" s="376">
        <v>43070</v>
      </c>
      <c r="M30" s="372">
        <v>43169</v>
      </c>
      <c r="N30" s="376">
        <v>43097</v>
      </c>
      <c r="O30" s="376">
        <v>46</v>
      </c>
      <c r="P30" s="373">
        <f t="shared" si="0"/>
        <v>43123</v>
      </c>
      <c r="Q30" s="374" t="s">
        <v>163</v>
      </c>
      <c r="R30" s="375" t="s">
        <v>11</v>
      </c>
      <c r="S30" s="376" t="s">
        <v>196</v>
      </c>
      <c r="T30" s="376"/>
      <c r="U30" s="372">
        <v>43179</v>
      </c>
      <c r="V30" s="374" t="str">
        <f ca="1">IF(U30&gt;TODAY(),IF(U30&lt;TODAY()+17,"Пора отправлять","Еще рано"),"Уже не актуально")</f>
        <v>Уже не актуально</v>
      </c>
      <c r="W30" s="372">
        <v>43185</v>
      </c>
      <c r="X30" s="376">
        <v>43186</v>
      </c>
      <c r="Y30" s="376">
        <v>43187</v>
      </c>
      <c r="Z30" s="376" t="s">
        <v>111</v>
      </c>
      <c r="AA30" s="376" t="s">
        <v>111</v>
      </c>
      <c r="AB30" s="385">
        <v>43201</v>
      </c>
      <c r="AC30" s="250" t="s">
        <v>270</v>
      </c>
      <c r="AD30" s="251">
        <f t="shared" si="2"/>
        <v>32</v>
      </c>
      <c r="AE30" s="234"/>
      <c r="AF30" s="234"/>
      <c r="AG30" s="237"/>
      <c r="AH30" s="236"/>
      <c r="AK30" s="255" t="s">
        <v>317</v>
      </c>
      <c r="AL30" s="109"/>
    </row>
    <row r="31" spans="1:38" ht="54.95" hidden="1" customHeight="1">
      <c r="A31" s="265" t="s">
        <v>300</v>
      </c>
      <c r="B31" s="267" t="s">
        <v>19</v>
      </c>
      <c r="C31" s="267" t="s">
        <v>140</v>
      </c>
      <c r="D31" s="268" t="s">
        <v>117</v>
      </c>
      <c r="E31" s="269" t="s">
        <v>218</v>
      </c>
      <c r="F31" s="270" t="s">
        <v>157</v>
      </c>
      <c r="G31" s="267" t="s">
        <v>46</v>
      </c>
      <c r="H31" s="272" t="s">
        <v>257</v>
      </c>
      <c r="I31" s="267"/>
      <c r="J31" s="267"/>
      <c r="K31" s="267"/>
      <c r="L31" s="376">
        <v>43097</v>
      </c>
      <c r="M31" s="372">
        <v>43184</v>
      </c>
      <c r="N31" s="376">
        <v>43097</v>
      </c>
      <c r="O31" s="376">
        <v>45</v>
      </c>
      <c r="P31" s="373">
        <f t="shared" si="0"/>
        <v>43139</v>
      </c>
      <c r="Q31" s="374" t="s">
        <v>163</v>
      </c>
      <c r="R31" s="375" t="s">
        <v>11</v>
      </c>
      <c r="S31" s="376" t="s">
        <v>196</v>
      </c>
      <c r="T31" s="376"/>
      <c r="U31" s="372">
        <f>M31</f>
        <v>43184</v>
      </c>
      <c r="V31" s="374" t="s">
        <v>206</v>
      </c>
      <c r="W31" s="372">
        <v>43197</v>
      </c>
      <c r="X31" s="376">
        <v>43199</v>
      </c>
      <c r="Y31" s="376">
        <v>43199</v>
      </c>
      <c r="Z31" s="376" t="s">
        <v>111</v>
      </c>
      <c r="AA31" s="376" t="s">
        <v>111</v>
      </c>
      <c r="AB31" s="385">
        <v>43201</v>
      </c>
      <c r="AC31" s="250" t="s">
        <v>270</v>
      </c>
      <c r="AD31" s="251">
        <f t="shared" si="2"/>
        <v>17</v>
      </c>
      <c r="AE31" s="234"/>
      <c r="AF31" s="234"/>
      <c r="AG31" s="237"/>
      <c r="AH31" s="236"/>
      <c r="AK31" s="255" t="s">
        <v>317</v>
      </c>
      <c r="AL31" s="104"/>
    </row>
    <row r="32" spans="1:38" ht="54.95" hidden="1" customHeight="1">
      <c r="A32" s="265" t="s">
        <v>300</v>
      </c>
      <c r="B32" s="267" t="s">
        <v>19</v>
      </c>
      <c r="C32" s="267" t="s">
        <v>140</v>
      </c>
      <c r="D32" s="268" t="s">
        <v>117</v>
      </c>
      <c r="E32" s="269" t="s">
        <v>218</v>
      </c>
      <c r="F32" s="270" t="s">
        <v>157</v>
      </c>
      <c r="G32" s="267" t="s">
        <v>46</v>
      </c>
      <c r="H32" s="272" t="s">
        <v>258</v>
      </c>
      <c r="I32" s="267"/>
      <c r="J32" s="267"/>
      <c r="K32" s="267"/>
      <c r="L32" s="376">
        <v>43097</v>
      </c>
      <c r="M32" s="372">
        <v>43184</v>
      </c>
      <c r="N32" s="376">
        <v>43097</v>
      </c>
      <c r="O32" s="376">
        <v>46</v>
      </c>
      <c r="P32" s="373">
        <f t="shared" si="0"/>
        <v>43138</v>
      </c>
      <c r="Q32" s="374" t="s">
        <v>163</v>
      </c>
      <c r="R32" s="375" t="s">
        <v>11</v>
      </c>
      <c r="S32" s="376" t="s">
        <v>196</v>
      </c>
      <c r="T32" s="376"/>
      <c r="U32" s="372">
        <f>M32</f>
        <v>43184</v>
      </c>
      <c r="V32" s="374" t="s">
        <v>269</v>
      </c>
      <c r="W32" s="372">
        <v>43197</v>
      </c>
      <c r="X32" s="376">
        <v>43199</v>
      </c>
      <c r="Y32" s="376">
        <v>43199</v>
      </c>
      <c r="Z32" s="376" t="s">
        <v>111</v>
      </c>
      <c r="AA32" s="376" t="s">
        <v>111</v>
      </c>
      <c r="AB32" s="376">
        <v>43238</v>
      </c>
      <c r="AC32" s="250" t="str">
        <f ca="1">IF(AB32&lt;TODAY()-5,IF(AB32="","Еще рано","Уже не актуально"),IF(AB32&gt;TODAY()-2,"Еще рано","Пора отправлять"))</f>
        <v>Уже не актуально</v>
      </c>
      <c r="AD32" s="251">
        <f t="shared" si="2"/>
        <v>54</v>
      </c>
      <c r="AE32" s="234" t="s">
        <v>308</v>
      </c>
      <c r="AF32" s="234"/>
      <c r="AG32" s="237"/>
      <c r="AH32" s="236"/>
      <c r="AK32" s="255" t="s">
        <v>317</v>
      </c>
      <c r="AL32" s="111"/>
    </row>
    <row r="33" spans="1:38" ht="54.95" hidden="1" customHeight="1">
      <c r="A33" s="258" t="s">
        <v>300</v>
      </c>
      <c r="B33" s="258" t="s">
        <v>19</v>
      </c>
      <c r="C33" s="258" t="s">
        <v>140</v>
      </c>
      <c r="D33" s="268" t="s">
        <v>117</v>
      </c>
      <c r="E33" s="261" t="s">
        <v>218</v>
      </c>
      <c r="F33" s="262" t="s">
        <v>157</v>
      </c>
      <c r="G33" s="258" t="s">
        <v>46</v>
      </c>
      <c r="H33" s="275" t="s">
        <v>332</v>
      </c>
      <c r="I33" s="258"/>
      <c r="J33" s="258"/>
      <c r="K33" s="258">
        <v>70</v>
      </c>
      <c r="L33" s="386">
        <v>43132</v>
      </c>
      <c r="M33" s="372">
        <v>43205</v>
      </c>
      <c r="N33" s="376">
        <v>43203</v>
      </c>
      <c r="O33" s="376">
        <v>45</v>
      </c>
      <c r="P33" s="373">
        <f t="shared" si="0"/>
        <v>43160</v>
      </c>
      <c r="Q33" s="374" t="s">
        <v>163</v>
      </c>
      <c r="R33" s="375" t="s">
        <v>11</v>
      </c>
      <c r="S33" s="376" t="s">
        <v>196</v>
      </c>
      <c r="T33" s="376"/>
      <c r="U33" s="372">
        <v>43235</v>
      </c>
      <c r="V33" s="374" t="s">
        <v>203</v>
      </c>
      <c r="W33" s="372">
        <v>43291</v>
      </c>
      <c r="X33" s="376">
        <v>43292</v>
      </c>
      <c r="Y33" s="376" t="s">
        <v>111</v>
      </c>
      <c r="Z33" s="376" t="s">
        <v>111</v>
      </c>
      <c r="AA33" s="376" t="s">
        <v>111</v>
      </c>
      <c r="AB33" s="385">
        <v>43298</v>
      </c>
      <c r="AC33" s="250" t="s">
        <v>328</v>
      </c>
      <c r="AD33" s="251">
        <f t="shared" si="2"/>
        <v>93</v>
      </c>
      <c r="AE33" s="234"/>
      <c r="AF33" s="234"/>
      <c r="AG33" s="237"/>
      <c r="AH33" s="236"/>
      <c r="AK33" s="255" t="s">
        <v>317</v>
      </c>
      <c r="AL33" s="152"/>
    </row>
    <row r="34" spans="1:38" ht="54.95" hidden="1" customHeight="1">
      <c r="A34" s="258" t="s">
        <v>300</v>
      </c>
      <c r="B34" s="258" t="s">
        <v>19</v>
      </c>
      <c r="C34" s="258" t="s">
        <v>140</v>
      </c>
      <c r="D34" s="268" t="s">
        <v>117</v>
      </c>
      <c r="E34" s="261" t="s">
        <v>218</v>
      </c>
      <c r="F34" s="262" t="s">
        <v>157</v>
      </c>
      <c r="G34" s="258" t="s">
        <v>282</v>
      </c>
      <c r="H34" s="275" t="s">
        <v>279</v>
      </c>
      <c r="I34" s="258"/>
      <c r="J34" s="258"/>
      <c r="K34" s="258">
        <v>73</v>
      </c>
      <c r="L34" s="386">
        <v>43228</v>
      </c>
      <c r="M34" s="372">
        <v>43291</v>
      </c>
      <c r="N34" s="376">
        <v>43236</v>
      </c>
      <c r="O34" s="376">
        <v>45</v>
      </c>
      <c r="P34" s="373">
        <f t="shared" si="0"/>
        <v>43246</v>
      </c>
      <c r="Q34" s="374" t="s">
        <v>292</v>
      </c>
      <c r="R34" s="375" t="s">
        <v>11</v>
      </c>
      <c r="S34" s="376" t="s">
        <v>196</v>
      </c>
      <c r="T34" s="376"/>
      <c r="U34" s="372">
        <v>43301</v>
      </c>
      <c r="V34" s="374" t="s">
        <v>203</v>
      </c>
      <c r="W34" s="372">
        <v>43301</v>
      </c>
      <c r="X34" s="372">
        <v>43302</v>
      </c>
      <c r="Y34" s="376">
        <v>43302</v>
      </c>
      <c r="Z34" s="376" t="s">
        <v>111</v>
      </c>
      <c r="AA34" s="376">
        <v>43301</v>
      </c>
      <c r="AB34" s="385">
        <v>43308</v>
      </c>
      <c r="AC34" s="250" t="s">
        <v>346</v>
      </c>
      <c r="AD34" s="251">
        <f t="shared" si="2"/>
        <v>17</v>
      </c>
      <c r="AE34" s="234" t="s">
        <v>343</v>
      </c>
      <c r="AF34" s="234"/>
      <c r="AG34" s="237"/>
      <c r="AH34" s="236"/>
      <c r="AK34" s="255" t="s">
        <v>317</v>
      </c>
      <c r="AL34" s="125"/>
    </row>
    <row r="35" spans="1:38" ht="54.95" hidden="1" customHeight="1">
      <c r="A35" s="258" t="s">
        <v>300</v>
      </c>
      <c r="B35" s="258" t="s">
        <v>19</v>
      </c>
      <c r="C35" s="258" t="s">
        <v>140</v>
      </c>
      <c r="D35" s="268" t="s">
        <v>117</v>
      </c>
      <c r="E35" s="261" t="s">
        <v>218</v>
      </c>
      <c r="F35" s="262" t="s">
        <v>157</v>
      </c>
      <c r="G35" s="258" t="s">
        <v>282</v>
      </c>
      <c r="H35" s="275" t="s">
        <v>331</v>
      </c>
      <c r="I35" s="258"/>
      <c r="J35" s="258"/>
      <c r="K35" s="258"/>
      <c r="L35" s="386">
        <v>43228</v>
      </c>
      <c r="M35" s="372">
        <v>43296</v>
      </c>
      <c r="N35" s="376">
        <v>43236</v>
      </c>
      <c r="O35" s="376">
        <v>45</v>
      </c>
      <c r="P35" s="373">
        <f t="shared" si="0"/>
        <v>43251</v>
      </c>
      <c r="Q35" s="374" t="s">
        <v>292</v>
      </c>
      <c r="R35" s="375" t="s">
        <v>11</v>
      </c>
      <c r="S35" s="376" t="s">
        <v>196</v>
      </c>
      <c r="T35" s="376"/>
      <c r="U35" s="372">
        <v>43301</v>
      </c>
      <c r="V35" s="374" t="s">
        <v>203</v>
      </c>
      <c r="W35" s="372">
        <v>43301</v>
      </c>
      <c r="X35" s="372">
        <v>43302</v>
      </c>
      <c r="Y35" s="376">
        <v>43302</v>
      </c>
      <c r="Z35" s="376" t="s">
        <v>111</v>
      </c>
      <c r="AA35" s="376">
        <v>43301</v>
      </c>
      <c r="AB35" s="385">
        <v>43308</v>
      </c>
      <c r="AC35" s="250" t="s">
        <v>346</v>
      </c>
      <c r="AD35" s="251">
        <f t="shared" si="2"/>
        <v>12</v>
      </c>
      <c r="AE35" s="234" t="s">
        <v>343</v>
      </c>
      <c r="AF35" s="234"/>
      <c r="AG35" s="237"/>
      <c r="AH35" s="236"/>
      <c r="AK35" s="255" t="s">
        <v>317</v>
      </c>
      <c r="AL35" s="126"/>
    </row>
    <row r="36" spans="1:38" ht="54.95" hidden="1" customHeight="1">
      <c r="A36" s="258" t="s">
        <v>300</v>
      </c>
      <c r="B36" s="258" t="s">
        <v>19</v>
      </c>
      <c r="C36" s="258" t="s">
        <v>140</v>
      </c>
      <c r="D36" s="268" t="s">
        <v>117</v>
      </c>
      <c r="E36" s="261" t="s">
        <v>218</v>
      </c>
      <c r="F36" s="262" t="s">
        <v>157</v>
      </c>
      <c r="G36" s="258" t="s">
        <v>282</v>
      </c>
      <c r="H36" s="275" t="s">
        <v>330</v>
      </c>
      <c r="I36" s="258"/>
      <c r="J36" s="258"/>
      <c r="K36" s="258"/>
      <c r="L36" s="386">
        <v>43229</v>
      </c>
      <c r="M36" s="372">
        <v>43297</v>
      </c>
      <c r="N36" s="376">
        <v>43237</v>
      </c>
      <c r="O36" s="376">
        <v>45</v>
      </c>
      <c r="P36" s="373">
        <f t="shared" si="0"/>
        <v>43252</v>
      </c>
      <c r="Q36" s="374" t="s">
        <v>306</v>
      </c>
      <c r="R36" s="375" t="s">
        <v>11</v>
      </c>
      <c r="S36" s="376" t="s">
        <v>196</v>
      </c>
      <c r="T36" s="376"/>
      <c r="U36" s="372">
        <v>43308</v>
      </c>
      <c r="V36" s="374" t="s">
        <v>329</v>
      </c>
      <c r="W36" s="372">
        <v>43308</v>
      </c>
      <c r="X36" s="372">
        <v>43308</v>
      </c>
      <c r="Y36" s="372">
        <v>43312</v>
      </c>
      <c r="Z36" s="376" t="s">
        <v>111</v>
      </c>
      <c r="AA36" s="376">
        <v>43301</v>
      </c>
      <c r="AB36" s="385">
        <v>43321</v>
      </c>
      <c r="AC36" s="250" t="s">
        <v>357</v>
      </c>
      <c r="AD36" s="251">
        <f t="shared" si="2"/>
        <v>24</v>
      </c>
      <c r="AE36" s="234"/>
      <c r="AF36" s="234"/>
      <c r="AG36" s="237"/>
      <c r="AH36" s="236"/>
      <c r="AK36" s="255" t="s">
        <v>317</v>
      </c>
      <c r="AL36" s="152"/>
    </row>
    <row r="37" spans="1:38" ht="54.95" hidden="1" customHeight="1">
      <c r="A37" s="258" t="s">
        <v>300</v>
      </c>
      <c r="B37" s="258" t="s">
        <v>19</v>
      </c>
      <c r="C37" s="258" t="s">
        <v>140</v>
      </c>
      <c r="D37" s="268" t="s">
        <v>117</v>
      </c>
      <c r="E37" s="261" t="s">
        <v>218</v>
      </c>
      <c r="F37" s="262" t="s">
        <v>157</v>
      </c>
      <c r="G37" s="258" t="s">
        <v>282</v>
      </c>
      <c r="H37" s="275" t="s">
        <v>362</v>
      </c>
      <c r="I37" s="258"/>
      <c r="J37" s="258"/>
      <c r="K37" s="258">
        <v>65</v>
      </c>
      <c r="L37" s="386">
        <v>43250</v>
      </c>
      <c r="M37" s="372">
        <v>43313</v>
      </c>
      <c r="N37" s="376">
        <v>43252</v>
      </c>
      <c r="O37" s="376">
        <v>45</v>
      </c>
      <c r="P37" s="373">
        <f t="shared" si="0"/>
        <v>43268</v>
      </c>
      <c r="Q37" s="374" t="s">
        <v>361</v>
      </c>
      <c r="R37" s="375" t="s">
        <v>11</v>
      </c>
      <c r="S37" s="376" t="s">
        <v>196</v>
      </c>
      <c r="T37" s="376"/>
      <c r="U37" s="372">
        <v>43348</v>
      </c>
      <c r="V37" s="374" t="s">
        <v>370</v>
      </c>
      <c r="W37" s="372">
        <v>43344</v>
      </c>
      <c r="X37" s="372">
        <v>43347</v>
      </c>
      <c r="Y37" s="372">
        <v>43347</v>
      </c>
      <c r="Z37" s="376" t="s">
        <v>111</v>
      </c>
      <c r="AA37" s="376">
        <v>43354</v>
      </c>
      <c r="AB37" s="385">
        <v>43358</v>
      </c>
      <c r="AC37" s="250" t="s">
        <v>419</v>
      </c>
      <c r="AD37" s="251">
        <f t="shared" si="2"/>
        <v>45</v>
      </c>
      <c r="AE37" s="276" t="s">
        <v>411</v>
      </c>
      <c r="AF37" s="255" t="s">
        <v>393</v>
      </c>
      <c r="AG37" s="237"/>
      <c r="AH37" s="236"/>
      <c r="AK37" s="255" t="s">
        <v>317</v>
      </c>
      <c r="AL37" s="158"/>
    </row>
    <row r="38" spans="1:38" ht="54.95" hidden="1" customHeight="1">
      <c r="A38" s="258" t="s">
        <v>300</v>
      </c>
      <c r="B38" s="258" t="s">
        <v>19</v>
      </c>
      <c r="C38" s="258" t="s">
        <v>140</v>
      </c>
      <c r="D38" s="268" t="s">
        <v>117</v>
      </c>
      <c r="E38" s="261" t="s">
        <v>218</v>
      </c>
      <c r="F38" s="262" t="s">
        <v>157</v>
      </c>
      <c r="G38" s="258" t="s">
        <v>282</v>
      </c>
      <c r="H38" s="275" t="s">
        <v>363</v>
      </c>
      <c r="I38" s="258"/>
      <c r="J38" s="258"/>
      <c r="K38" s="258">
        <v>65</v>
      </c>
      <c r="L38" s="386">
        <v>43250</v>
      </c>
      <c r="M38" s="372">
        <v>43313</v>
      </c>
      <c r="N38" s="376">
        <v>43252</v>
      </c>
      <c r="O38" s="376">
        <v>45</v>
      </c>
      <c r="P38" s="373">
        <f t="shared" si="0"/>
        <v>43268</v>
      </c>
      <c r="Q38" s="374" t="s">
        <v>304</v>
      </c>
      <c r="R38" s="375" t="s">
        <v>11</v>
      </c>
      <c r="S38" s="376" t="s">
        <v>196</v>
      </c>
      <c r="T38" s="376"/>
      <c r="U38" s="372">
        <v>43348</v>
      </c>
      <c r="V38" s="374" t="str">
        <f ca="1">IF(U38&gt;TODAY(),IF(U38&lt;TODAY()+17,"Пора отправлять","Еще рано"),"Уже не актуально")</f>
        <v>Уже не актуально</v>
      </c>
      <c r="W38" s="372">
        <v>43356</v>
      </c>
      <c r="X38" s="372">
        <v>43357</v>
      </c>
      <c r="Y38" s="372">
        <v>43357</v>
      </c>
      <c r="Z38" s="376" t="s">
        <v>111</v>
      </c>
      <c r="AA38" s="376">
        <v>43354</v>
      </c>
      <c r="AB38" s="385">
        <v>43360</v>
      </c>
      <c r="AC38" s="250" t="s">
        <v>419</v>
      </c>
      <c r="AD38" s="251">
        <f t="shared" si="2"/>
        <v>47</v>
      </c>
      <c r="AE38" s="277" t="s">
        <v>410</v>
      </c>
      <c r="AF38" s="255" t="s">
        <v>393</v>
      </c>
      <c r="AG38" s="237"/>
      <c r="AH38" s="236"/>
      <c r="AK38" s="255" t="s">
        <v>317</v>
      </c>
      <c r="AL38" s="140"/>
    </row>
    <row r="39" spans="1:38" ht="54.95" hidden="1" customHeight="1">
      <c r="A39" s="258" t="s">
        <v>300</v>
      </c>
      <c r="B39" s="258" t="s">
        <v>19</v>
      </c>
      <c r="C39" s="258" t="s">
        <v>140</v>
      </c>
      <c r="D39" s="268" t="s">
        <v>117</v>
      </c>
      <c r="E39" s="261" t="s">
        <v>218</v>
      </c>
      <c r="F39" s="262" t="s">
        <v>157</v>
      </c>
      <c r="G39" s="258" t="s">
        <v>282</v>
      </c>
      <c r="H39" s="275" t="s">
        <v>289</v>
      </c>
      <c r="I39" s="258"/>
      <c r="J39" s="258"/>
      <c r="K39" s="258">
        <v>3</v>
      </c>
      <c r="L39" s="386">
        <v>43228</v>
      </c>
      <c r="M39" s="372">
        <v>43291</v>
      </c>
      <c r="N39" s="376">
        <v>43236</v>
      </c>
      <c r="O39" s="376">
        <v>45</v>
      </c>
      <c r="P39" s="373">
        <f t="shared" ref="P39:P64" si="5">M39-O39</f>
        <v>43246</v>
      </c>
      <c r="Q39" s="374" t="s">
        <v>292</v>
      </c>
      <c r="R39" s="375" t="s">
        <v>11</v>
      </c>
      <c r="S39" s="376" t="s">
        <v>196</v>
      </c>
      <c r="T39" s="376"/>
      <c r="U39" s="372">
        <f>M39</f>
        <v>43291</v>
      </c>
      <c r="V39" s="374" t="s">
        <v>307</v>
      </c>
      <c r="W39" s="372">
        <v>43301</v>
      </c>
      <c r="X39" s="372">
        <v>43302</v>
      </c>
      <c r="Y39" s="376">
        <v>43302</v>
      </c>
      <c r="Z39" s="376" t="s">
        <v>111</v>
      </c>
      <c r="AA39" s="376">
        <v>43301</v>
      </c>
      <c r="AB39" s="385">
        <v>43308</v>
      </c>
      <c r="AC39" s="250" t="s">
        <v>346</v>
      </c>
      <c r="AD39" s="251">
        <f t="shared" ref="AD39:AD70" si="6">AB39-M39</f>
        <v>17</v>
      </c>
      <c r="AE39" s="234" t="s">
        <v>343</v>
      </c>
      <c r="AF39" s="255" t="s">
        <v>392</v>
      </c>
      <c r="AG39" s="237"/>
      <c r="AH39" s="236"/>
      <c r="AK39" s="255" t="s">
        <v>317</v>
      </c>
      <c r="AL39" s="137"/>
    </row>
    <row r="40" spans="1:38" ht="54.95" hidden="1" customHeight="1">
      <c r="A40" s="258" t="s">
        <v>300</v>
      </c>
      <c r="B40" s="258" t="s">
        <v>19</v>
      </c>
      <c r="C40" s="258" t="s">
        <v>140</v>
      </c>
      <c r="D40" s="268" t="s">
        <v>117</v>
      </c>
      <c r="E40" s="261" t="s">
        <v>218</v>
      </c>
      <c r="F40" s="262" t="s">
        <v>157</v>
      </c>
      <c r="G40" s="258" t="s">
        <v>282</v>
      </c>
      <c r="H40" s="275" t="s">
        <v>422</v>
      </c>
      <c r="I40" s="258"/>
      <c r="J40" s="258"/>
      <c r="K40" s="258">
        <v>204</v>
      </c>
      <c r="L40" s="386">
        <v>43266</v>
      </c>
      <c r="M40" s="372">
        <v>43329</v>
      </c>
      <c r="N40" s="376">
        <v>43271</v>
      </c>
      <c r="O40" s="376">
        <f>45</f>
        <v>45</v>
      </c>
      <c r="P40" s="373">
        <f t="shared" si="5"/>
        <v>43284</v>
      </c>
      <c r="Q40" s="374" t="s">
        <v>306</v>
      </c>
      <c r="R40" s="375" t="s">
        <v>11</v>
      </c>
      <c r="S40" s="376" t="s">
        <v>196</v>
      </c>
      <c r="T40" s="376"/>
      <c r="U40" s="372">
        <v>43368</v>
      </c>
      <c r="V40" s="374" t="s">
        <v>425</v>
      </c>
      <c r="W40" s="372">
        <v>43368</v>
      </c>
      <c r="X40" s="372">
        <v>43369</v>
      </c>
      <c r="Y40" s="376">
        <v>43370</v>
      </c>
      <c r="Z40" s="376" t="s">
        <v>111</v>
      </c>
      <c r="AA40" s="376" t="s">
        <v>111</v>
      </c>
      <c r="AB40" s="385">
        <v>43371</v>
      </c>
      <c r="AC40" s="250" t="str">
        <f ca="1">IF(AB40&lt;TODAY()-5,IF(AB40="","Еще рано","Уже не актуально"),IF(AB40&gt;TODAY()-2,"Еще рано","Пора отправлять"))</f>
        <v>Уже не актуально</v>
      </c>
      <c r="AD40" s="251">
        <f t="shared" si="6"/>
        <v>42</v>
      </c>
      <c r="AE40" s="234"/>
      <c r="AF40" s="255" t="s">
        <v>391</v>
      </c>
      <c r="AG40" s="237"/>
      <c r="AH40" s="236"/>
      <c r="AK40" s="255" t="s">
        <v>317</v>
      </c>
      <c r="AL40" s="148"/>
    </row>
    <row r="41" spans="1:38" ht="54.95" hidden="1" customHeight="1">
      <c r="A41" s="258" t="s">
        <v>300</v>
      </c>
      <c r="B41" s="258" t="s">
        <v>19</v>
      </c>
      <c r="C41" s="258" t="s">
        <v>140</v>
      </c>
      <c r="D41" s="268" t="s">
        <v>117</v>
      </c>
      <c r="E41" s="261" t="s">
        <v>218</v>
      </c>
      <c r="F41" s="262" t="s">
        <v>157</v>
      </c>
      <c r="G41" s="258" t="s">
        <v>282</v>
      </c>
      <c r="H41" s="275" t="s">
        <v>423</v>
      </c>
      <c r="I41" s="258"/>
      <c r="J41" s="258"/>
      <c r="K41" s="258">
        <v>205</v>
      </c>
      <c r="L41" s="386">
        <v>43266</v>
      </c>
      <c r="M41" s="372">
        <v>43329</v>
      </c>
      <c r="N41" s="376">
        <v>43271</v>
      </c>
      <c r="O41" s="376">
        <f>45</f>
        <v>45</v>
      </c>
      <c r="P41" s="373">
        <f t="shared" si="5"/>
        <v>43284</v>
      </c>
      <c r="Q41" s="374" t="s">
        <v>421</v>
      </c>
      <c r="R41" s="375" t="s">
        <v>11</v>
      </c>
      <c r="S41" s="376" t="s">
        <v>196</v>
      </c>
      <c r="T41" s="376"/>
      <c r="U41" s="372">
        <v>43371</v>
      </c>
      <c r="V41" s="374" t="s">
        <v>425</v>
      </c>
      <c r="W41" s="372">
        <v>43368</v>
      </c>
      <c r="X41" s="372">
        <v>43369</v>
      </c>
      <c r="Y41" s="376">
        <v>43370</v>
      </c>
      <c r="Z41" s="376" t="s">
        <v>111</v>
      </c>
      <c r="AA41" s="376" t="s">
        <v>111</v>
      </c>
      <c r="AB41" s="385">
        <v>43371</v>
      </c>
      <c r="AC41" s="250" t="str">
        <f ca="1">IF(AB41&lt;TODAY()-5,IF(AB41="","Еще рано","Уже не актуально"),IF(AB41&gt;TODAY()-2,"Еще рано","Пора отправлять"))</f>
        <v>Уже не актуально</v>
      </c>
      <c r="AD41" s="251">
        <f t="shared" si="6"/>
        <v>42</v>
      </c>
      <c r="AE41" s="234" t="s">
        <v>438</v>
      </c>
      <c r="AF41" s="255" t="s">
        <v>391</v>
      </c>
      <c r="AG41" s="237"/>
      <c r="AH41" s="236"/>
      <c r="AK41" s="255" t="s">
        <v>317</v>
      </c>
      <c r="AL41" s="165"/>
    </row>
    <row r="42" spans="1:38" ht="54.95" hidden="1" customHeight="1">
      <c r="A42" s="258" t="s">
        <v>300</v>
      </c>
      <c r="B42" s="258" t="s">
        <v>19</v>
      </c>
      <c r="C42" s="258" t="s">
        <v>140</v>
      </c>
      <c r="D42" s="268" t="s">
        <v>117</v>
      </c>
      <c r="E42" s="261" t="s">
        <v>218</v>
      </c>
      <c r="F42" s="262" t="s">
        <v>157</v>
      </c>
      <c r="G42" s="258" t="s">
        <v>282</v>
      </c>
      <c r="H42" s="275" t="s">
        <v>426</v>
      </c>
      <c r="I42" s="258"/>
      <c r="J42" s="258"/>
      <c r="K42" s="258"/>
      <c r="L42" s="386">
        <v>43273</v>
      </c>
      <c r="M42" s="372">
        <v>43336</v>
      </c>
      <c r="N42" s="376"/>
      <c r="O42" s="376">
        <f>45</f>
        <v>45</v>
      </c>
      <c r="P42" s="373">
        <f t="shared" si="5"/>
        <v>43291</v>
      </c>
      <c r="Q42" s="374" t="str">
        <f ca="1">IF(P42&gt;=TODAY()-5,IF(P42&lt;TODAY()+6,"Пора отправлять","Еще рано"),"Уже не актуально")</f>
        <v>Уже не актуально</v>
      </c>
      <c r="R42" s="375" t="s">
        <v>11</v>
      </c>
      <c r="S42" s="376" t="s">
        <v>196</v>
      </c>
      <c r="T42" s="376"/>
      <c r="U42" s="372">
        <v>43371</v>
      </c>
      <c r="V42" s="374" t="s">
        <v>425</v>
      </c>
      <c r="W42" s="372">
        <v>43383</v>
      </c>
      <c r="X42" s="372">
        <v>43383</v>
      </c>
      <c r="Y42" s="376">
        <v>43385</v>
      </c>
      <c r="Z42" s="376" t="s">
        <v>111</v>
      </c>
      <c r="AA42" s="376" t="s">
        <v>111</v>
      </c>
      <c r="AB42" s="385">
        <v>43386</v>
      </c>
      <c r="AC42" s="250" t="str">
        <f ca="1">IF(AB42&lt;TODAY()-5,IF(AB42="","Еще рано","Уже не актуально"),IF(AB42&gt;TODAY()-2,"Еще рано","Пора отправлять"))</f>
        <v>Уже не актуально</v>
      </c>
      <c r="AD42" s="251">
        <f t="shared" si="6"/>
        <v>50</v>
      </c>
      <c r="AE42" s="234"/>
      <c r="AF42" s="278" t="s">
        <v>401</v>
      </c>
      <c r="AG42" s="237"/>
      <c r="AH42" s="236"/>
      <c r="AK42" s="255" t="s">
        <v>317</v>
      </c>
      <c r="AL42" s="166"/>
    </row>
    <row r="43" spans="1:38" ht="54.95" hidden="1" customHeight="1">
      <c r="A43" s="258" t="s">
        <v>300</v>
      </c>
      <c r="B43" s="258" t="s">
        <v>19</v>
      </c>
      <c r="C43" s="258" t="s">
        <v>140</v>
      </c>
      <c r="D43" s="268" t="s">
        <v>117</v>
      </c>
      <c r="E43" s="261" t="s">
        <v>218</v>
      </c>
      <c r="F43" s="262" t="s">
        <v>157</v>
      </c>
      <c r="G43" s="258" t="s">
        <v>282</v>
      </c>
      <c r="H43" s="275" t="s">
        <v>427</v>
      </c>
      <c r="I43" s="258"/>
      <c r="J43" s="258"/>
      <c r="K43" s="258"/>
      <c r="L43" s="386">
        <v>43273</v>
      </c>
      <c r="M43" s="372">
        <v>43336</v>
      </c>
      <c r="N43" s="376"/>
      <c r="O43" s="376">
        <f>45</f>
        <v>45</v>
      </c>
      <c r="P43" s="373">
        <f t="shared" si="5"/>
        <v>43291</v>
      </c>
      <c r="Q43" s="374" t="str">
        <f ca="1">IF(P43&gt;=TODAY()-5,IF(P43&lt;TODAY()+6,"Пора отправлять","Еще рано"),"Уже не актуально")</f>
        <v>Уже не актуально</v>
      </c>
      <c r="R43" s="375" t="s">
        <v>11</v>
      </c>
      <c r="S43" s="376" t="s">
        <v>196</v>
      </c>
      <c r="T43" s="376"/>
      <c r="U43" s="372">
        <v>43383</v>
      </c>
      <c r="V43" s="374" t="str">
        <f ca="1">IF(U43&gt;TODAY(),IF(U43&lt;TODAY()+17,"Пора отправлять","Еще рано"),"Уже не актуально")</f>
        <v>Уже не актуально</v>
      </c>
      <c r="W43" s="372">
        <v>43391</v>
      </c>
      <c r="X43" s="372">
        <v>43395</v>
      </c>
      <c r="Y43" s="376">
        <v>43396</v>
      </c>
      <c r="Z43" s="376" t="s">
        <v>111</v>
      </c>
      <c r="AA43" s="376" t="s">
        <v>111</v>
      </c>
      <c r="AB43" s="385">
        <v>43398</v>
      </c>
      <c r="AC43" s="250" t="s">
        <v>452</v>
      </c>
      <c r="AD43" s="251">
        <f t="shared" si="6"/>
        <v>62</v>
      </c>
      <c r="AE43" s="234"/>
      <c r="AF43" s="278" t="s">
        <v>401</v>
      </c>
      <c r="AG43" s="237"/>
      <c r="AH43" s="236"/>
      <c r="AK43" s="255" t="s">
        <v>317</v>
      </c>
      <c r="AL43" s="149"/>
    </row>
    <row r="44" spans="1:38" ht="54.95" hidden="1" customHeight="1">
      <c r="A44" s="258" t="s">
        <v>300</v>
      </c>
      <c r="B44" s="258" t="s">
        <v>19</v>
      </c>
      <c r="C44" s="258" t="s">
        <v>140</v>
      </c>
      <c r="D44" s="268" t="s">
        <v>117</v>
      </c>
      <c r="E44" s="261" t="s">
        <v>218</v>
      </c>
      <c r="F44" s="262" t="s">
        <v>157</v>
      </c>
      <c r="G44" s="258" t="s">
        <v>282</v>
      </c>
      <c r="H44" s="275" t="s">
        <v>428</v>
      </c>
      <c r="I44" s="258"/>
      <c r="J44" s="258"/>
      <c r="K44" s="258"/>
      <c r="L44" s="386">
        <v>43273</v>
      </c>
      <c r="M44" s="372">
        <v>43336</v>
      </c>
      <c r="N44" s="376"/>
      <c r="O44" s="376">
        <f>45</f>
        <v>45</v>
      </c>
      <c r="P44" s="373">
        <f t="shared" si="5"/>
        <v>43291</v>
      </c>
      <c r="Q44" s="374" t="str">
        <f ca="1">IF(P44&gt;=TODAY()-5,IF(P44&lt;TODAY()+6,"Пора отправлять","Еще рано"),"Уже не актуально")</f>
        <v>Уже не актуально</v>
      </c>
      <c r="R44" s="375" t="s">
        <v>11</v>
      </c>
      <c r="S44" s="376" t="s">
        <v>196</v>
      </c>
      <c r="T44" s="376"/>
      <c r="U44" s="372">
        <v>43383</v>
      </c>
      <c r="V44" s="374" t="str">
        <f ca="1">IF(U44&gt;TODAY(),IF(U44&lt;TODAY()+17,"Пора отправлять","Еще рано"),"Уже не актуально")</f>
        <v>Уже не актуально</v>
      </c>
      <c r="W44" s="372">
        <v>43401</v>
      </c>
      <c r="X44" s="372">
        <v>43403</v>
      </c>
      <c r="Y44" s="376">
        <v>43403</v>
      </c>
      <c r="Z44" s="376" t="s">
        <v>111</v>
      </c>
      <c r="AA44" s="376" t="s">
        <v>111</v>
      </c>
      <c r="AB44" s="385">
        <v>43404</v>
      </c>
      <c r="AC44" s="250" t="s">
        <v>462</v>
      </c>
      <c r="AD44" s="251">
        <f t="shared" si="6"/>
        <v>68</v>
      </c>
      <c r="AE44" s="234"/>
      <c r="AF44" s="278" t="s">
        <v>401</v>
      </c>
      <c r="AG44" s="237"/>
      <c r="AH44" s="236"/>
      <c r="AK44" s="255" t="s">
        <v>317</v>
      </c>
      <c r="AL44" s="166"/>
    </row>
    <row r="45" spans="1:38" ht="54.95" hidden="1" customHeight="1">
      <c r="A45" s="258" t="s">
        <v>300</v>
      </c>
      <c r="B45" s="258" t="s">
        <v>19</v>
      </c>
      <c r="C45" s="258" t="s">
        <v>140</v>
      </c>
      <c r="D45" s="268" t="s">
        <v>117</v>
      </c>
      <c r="E45" s="261" t="s">
        <v>218</v>
      </c>
      <c r="F45" s="262" t="s">
        <v>157</v>
      </c>
      <c r="G45" s="258" t="s">
        <v>282</v>
      </c>
      <c r="H45" s="275" t="s">
        <v>468</v>
      </c>
      <c r="I45" s="258"/>
      <c r="J45" s="258"/>
      <c r="K45" s="258"/>
      <c r="L45" s="386">
        <v>43273</v>
      </c>
      <c r="M45" s="372">
        <v>43336</v>
      </c>
      <c r="N45" s="376"/>
      <c r="O45" s="376">
        <f>45</f>
        <v>45</v>
      </c>
      <c r="P45" s="373">
        <f t="shared" si="5"/>
        <v>43291</v>
      </c>
      <c r="Q45" s="374" t="str">
        <f ca="1">IF(P45&gt;=TODAY()-5,IF(P45&lt;TODAY()+6,"Пора отправлять","Еще рано"),"Уже не актуально")</f>
        <v>Уже не актуально</v>
      </c>
      <c r="R45" s="375" t="s">
        <v>11</v>
      </c>
      <c r="S45" s="376" t="s">
        <v>196</v>
      </c>
      <c r="T45" s="376"/>
      <c r="U45" s="372">
        <v>43413</v>
      </c>
      <c r="V45" s="374" t="s">
        <v>462</v>
      </c>
      <c r="W45" s="372">
        <v>43413</v>
      </c>
      <c r="X45" s="372">
        <v>43415</v>
      </c>
      <c r="Y45" s="376">
        <v>43417</v>
      </c>
      <c r="Z45" s="376" t="s">
        <v>111</v>
      </c>
      <c r="AA45" s="376" t="s">
        <v>111</v>
      </c>
      <c r="AB45" s="385">
        <v>43418</v>
      </c>
      <c r="AC45" s="250" t="str">
        <f ca="1">IF(AB45&lt;TODAY()-5,IF(AB45="","Еще рано","Уже не актуально"),IF(AB45&gt;TODAY()-2,"Еще рано","Пора отправлять"))</f>
        <v>Уже не актуально</v>
      </c>
      <c r="AD45" s="251">
        <f t="shared" si="6"/>
        <v>82</v>
      </c>
      <c r="AE45" s="234"/>
      <c r="AF45" s="278" t="s">
        <v>401</v>
      </c>
      <c r="AG45" s="237"/>
      <c r="AH45" s="236"/>
      <c r="AK45" s="255" t="s">
        <v>317</v>
      </c>
      <c r="AL45" s="181"/>
    </row>
    <row r="46" spans="1:38" ht="54.95" hidden="1" customHeight="1">
      <c r="A46" s="258" t="s">
        <v>300</v>
      </c>
      <c r="B46" s="258" t="s">
        <v>19</v>
      </c>
      <c r="C46" s="258" t="s">
        <v>140</v>
      </c>
      <c r="D46" s="268" t="s">
        <v>117</v>
      </c>
      <c r="E46" s="261" t="s">
        <v>218</v>
      </c>
      <c r="F46" s="262" t="s">
        <v>157</v>
      </c>
      <c r="G46" s="258" t="s">
        <v>282</v>
      </c>
      <c r="H46" s="275" t="s">
        <v>456</v>
      </c>
      <c r="I46" s="258"/>
      <c r="J46" s="258"/>
      <c r="K46" s="258"/>
      <c r="L46" s="386">
        <v>43292</v>
      </c>
      <c r="M46" s="372">
        <v>43352</v>
      </c>
      <c r="N46" s="376">
        <v>43312</v>
      </c>
      <c r="O46" s="376">
        <f>45</f>
        <v>45</v>
      </c>
      <c r="P46" s="373">
        <f t="shared" si="5"/>
        <v>43307</v>
      </c>
      <c r="Q46" s="374" t="s">
        <v>346</v>
      </c>
      <c r="R46" s="375" t="s">
        <v>11</v>
      </c>
      <c r="S46" s="376" t="s">
        <v>196</v>
      </c>
      <c r="T46" s="376"/>
      <c r="U46" s="372">
        <v>43426</v>
      </c>
      <c r="V46" s="374" t="str">
        <f ca="1">IF(U46&gt;TODAY(),IF(U46&lt;TODAY()+17,"Пора отправлять","Еще рано"),"Уже не актуально")</f>
        <v>Уже не актуально</v>
      </c>
      <c r="W46" s="372">
        <v>43425</v>
      </c>
      <c r="X46" s="372">
        <v>43425</v>
      </c>
      <c r="Y46" s="372">
        <v>43425</v>
      </c>
      <c r="Z46" s="376" t="s">
        <v>111</v>
      </c>
      <c r="AA46" s="376" t="s">
        <v>111</v>
      </c>
      <c r="AB46" s="385">
        <v>43431</v>
      </c>
      <c r="AC46" s="250" t="s">
        <v>478</v>
      </c>
      <c r="AD46" s="251">
        <f t="shared" si="6"/>
        <v>79</v>
      </c>
      <c r="AE46" s="234"/>
      <c r="AF46" s="255" t="s">
        <v>402</v>
      </c>
      <c r="AG46" s="237"/>
      <c r="AH46" s="236"/>
      <c r="AK46" s="255" t="s">
        <v>317</v>
      </c>
      <c r="AL46" s="153"/>
    </row>
    <row r="47" spans="1:38" ht="54.95" hidden="1" customHeight="1">
      <c r="A47" s="258" t="s">
        <v>300</v>
      </c>
      <c r="B47" s="258" t="s">
        <v>19</v>
      </c>
      <c r="C47" s="258" t="s">
        <v>140</v>
      </c>
      <c r="D47" s="268" t="s">
        <v>117</v>
      </c>
      <c r="E47" s="261" t="s">
        <v>218</v>
      </c>
      <c r="F47" s="262" t="s">
        <v>157</v>
      </c>
      <c r="G47" s="258" t="s">
        <v>282</v>
      </c>
      <c r="H47" s="275" t="s">
        <v>457</v>
      </c>
      <c r="I47" s="258"/>
      <c r="J47" s="258"/>
      <c r="K47" s="258"/>
      <c r="L47" s="386">
        <v>43292</v>
      </c>
      <c r="M47" s="372">
        <v>43352</v>
      </c>
      <c r="N47" s="376">
        <v>43312</v>
      </c>
      <c r="O47" s="376">
        <f>45</f>
        <v>45</v>
      </c>
      <c r="P47" s="373">
        <f t="shared" si="5"/>
        <v>43307</v>
      </c>
      <c r="Q47" s="374" t="s">
        <v>454</v>
      </c>
      <c r="R47" s="375" t="s">
        <v>11</v>
      </c>
      <c r="S47" s="376" t="s">
        <v>196</v>
      </c>
      <c r="T47" s="376"/>
      <c r="U47" s="372">
        <v>43427</v>
      </c>
      <c r="V47" s="374" t="s">
        <v>476</v>
      </c>
      <c r="W47" s="372">
        <v>43425</v>
      </c>
      <c r="X47" s="372">
        <v>43425</v>
      </c>
      <c r="Y47" s="372">
        <v>43425</v>
      </c>
      <c r="Z47" s="376" t="s">
        <v>111</v>
      </c>
      <c r="AA47" s="376" t="s">
        <v>111</v>
      </c>
      <c r="AB47" s="385">
        <v>43431</v>
      </c>
      <c r="AC47" s="250" t="s">
        <v>478</v>
      </c>
      <c r="AD47" s="251">
        <f t="shared" si="6"/>
        <v>79</v>
      </c>
      <c r="AE47" s="234"/>
      <c r="AF47" s="255" t="s">
        <v>402</v>
      </c>
      <c r="AG47" s="237"/>
      <c r="AH47" s="236"/>
      <c r="AK47" s="255" t="s">
        <v>317</v>
      </c>
      <c r="AL47" s="176"/>
    </row>
    <row r="48" spans="1:38" ht="54.95" hidden="1" customHeight="1">
      <c r="A48" s="258" t="s">
        <v>300</v>
      </c>
      <c r="B48" s="258" t="s">
        <v>19</v>
      </c>
      <c r="C48" s="258" t="s">
        <v>140</v>
      </c>
      <c r="D48" s="268" t="s">
        <v>117</v>
      </c>
      <c r="E48" s="261" t="s">
        <v>218</v>
      </c>
      <c r="F48" s="262" t="s">
        <v>157</v>
      </c>
      <c r="G48" s="258" t="s">
        <v>282</v>
      </c>
      <c r="H48" s="275" t="s">
        <v>458</v>
      </c>
      <c r="I48" s="258"/>
      <c r="J48" s="258"/>
      <c r="K48" s="258"/>
      <c r="L48" s="386">
        <v>43292</v>
      </c>
      <c r="M48" s="372">
        <v>43352</v>
      </c>
      <c r="N48" s="376">
        <v>43312</v>
      </c>
      <c r="O48" s="376">
        <f>45</f>
        <v>45</v>
      </c>
      <c r="P48" s="373">
        <f t="shared" si="5"/>
        <v>43307</v>
      </c>
      <c r="Q48" s="374" t="s">
        <v>455</v>
      </c>
      <c r="R48" s="375" t="s">
        <v>11</v>
      </c>
      <c r="S48" s="376" t="s">
        <v>196</v>
      </c>
      <c r="T48" s="376"/>
      <c r="U48" s="372">
        <v>43428</v>
      </c>
      <c r="V48" s="374" t="str">
        <f t="shared" ref="V48:V53" ca="1" si="7">IF(U48&gt;TODAY(),IF(U48&lt;TODAY()+17,"Пора отправлять","Еще рано"),"Уже не актуально")</f>
        <v>Уже не актуально</v>
      </c>
      <c r="W48" s="372">
        <v>43430</v>
      </c>
      <c r="X48" s="372">
        <v>43432</v>
      </c>
      <c r="Y48" s="376">
        <v>43433</v>
      </c>
      <c r="Z48" s="376" t="s">
        <v>111</v>
      </c>
      <c r="AA48" s="376" t="s">
        <v>111</v>
      </c>
      <c r="AB48" s="385">
        <v>43459</v>
      </c>
      <c r="AC48" s="250" t="str">
        <f t="shared" ref="AC48:AC54" ca="1" si="8">IF(AB48&lt;TODAY()-5,IF(AB48="","Еще рано","Уже не актуально"),IF(AB48&gt;TODAY()-2,"Еще рано","Пора отправлять"))</f>
        <v>Уже не актуально</v>
      </c>
      <c r="AD48" s="251">
        <f t="shared" si="6"/>
        <v>107</v>
      </c>
      <c r="AE48" s="252" t="s">
        <v>500</v>
      </c>
      <c r="AF48" s="255" t="s">
        <v>402</v>
      </c>
      <c r="AG48" s="237"/>
      <c r="AH48" s="236"/>
      <c r="AK48" s="255" t="s">
        <v>317</v>
      </c>
      <c r="AL48" s="176"/>
    </row>
    <row r="49" spans="1:38" ht="54.95" hidden="1" customHeight="1">
      <c r="A49" s="258" t="s">
        <v>300</v>
      </c>
      <c r="B49" s="258" t="s">
        <v>19</v>
      </c>
      <c r="C49" s="258" t="s">
        <v>140</v>
      </c>
      <c r="D49" s="268" t="s">
        <v>117</v>
      </c>
      <c r="E49" s="261" t="s">
        <v>218</v>
      </c>
      <c r="F49" s="262" t="s">
        <v>157</v>
      </c>
      <c r="G49" s="258" t="s">
        <v>282</v>
      </c>
      <c r="H49" s="275" t="s">
        <v>347</v>
      </c>
      <c r="I49" s="258"/>
      <c r="J49" s="258"/>
      <c r="K49" s="258"/>
      <c r="L49" s="386">
        <v>43292</v>
      </c>
      <c r="M49" s="372">
        <v>43352</v>
      </c>
      <c r="N49" s="376">
        <v>43312</v>
      </c>
      <c r="O49" s="376">
        <f>45</f>
        <v>45</v>
      </c>
      <c r="P49" s="373">
        <f t="shared" si="5"/>
        <v>43307</v>
      </c>
      <c r="Q49" s="374" t="s">
        <v>346</v>
      </c>
      <c r="R49" s="375" t="s">
        <v>11</v>
      </c>
      <c r="S49" s="376" t="s">
        <v>196</v>
      </c>
      <c r="T49" s="376"/>
      <c r="U49" s="372">
        <v>43426</v>
      </c>
      <c r="V49" s="374" t="str">
        <f t="shared" ca="1" si="7"/>
        <v>Уже не актуально</v>
      </c>
      <c r="W49" s="372">
        <v>43425</v>
      </c>
      <c r="X49" s="372">
        <v>43425</v>
      </c>
      <c r="Y49" s="372">
        <v>43425</v>
      </c>
      <c r="Z49" s="376" t="s">
        <v>111</v>
      </c>
      <c r="AA49" s="376" t="s">
        <v>111</v>
      </c>
      <c r="AB49" s="385">
        <v>43431</v>
      </c>
      <c r="AC49" s="250" t="str">
        <f t="shared" ca="1" si="8"/>
        <v>Уже не актуально</v>
      </c>
      <c r="AD49" s="251">
        <f t="shared" si="6"/>
        <v>79</v>
      </c>
      <c r="AE49" s="252" t="s">
        <v>873</v>
      </c>
      <c r="AF49" s="255" t="s">
        <v>403</v>
      </c>
      <c r="AG49" s="237"/>
      <c r="AH49" s="236"/>
      <c r="AK49" s="255" t="s">
        <v>317</v>
      </c>
      <c r="AL49" s="153"/>
    </row>
    <row r="50" spans="1:38" ht="54.95" hidden="1" customHeight="1">
      <c r="A50" s="258" t="s">
        <v>300</v>
      </c>
      <c r="B50" s="258" t="s">
        <v>19</v>
      </c>
      <c r="C50" s="258" t="s">
        <v>140</v>
      </c>
      <c r="D50" s="268" t="s">
        <v>117</v>
      </c>
      <c r="E50" s="261" t="s">
        <v>218</v>
      </c>
      <c r="F50" s="262" t="s">
        <v>157</v>
      </c>
      <c r="G50" s="258" t="s">
        <v>282</v>
      </c>
      <c r="H50" s="275" t="s">
        <v>349</v>
      </c>
      <c r="I50" s="258"/>
      <c r="J50" s="258"/>
      <c r="K50" s="258"/>
      <c r="L50" s="386">
        <v>43312</v>
      </c>
      <c r="M50" s="372">
        <v>43372</v>
      </c>
      <c r="N50" s="376"/>
      <c r="O50" s="376">
        <f>45</f>
        <v>45</v>
      </c>
      <c r="P50" s="373">
        <f t="shared" si="5"/>
        <v>43327</v>
      </c>
      <c r="Q50" s="374" t="str">
        <f t="shared" ref="Q50:Q56" ca="1" si="9">IF(P50&gt;=TODAY()-5,IF(P50&lt;TODAY()+6,"Пора отправлять","Еще рано"),"Уже не актуально")</f>
        <v>Уже не актуально</v>
      </c>
      <c r="R50" s="375" t="s">
        <v>11</v>
      </c>
      <c r="S50" s="376"/>
      <c r="T50" s="376"/>
      <c r="U50" s="372">
        <v>43426</v>
      </c>
      <c r="V50" s="374" t="str">
        <f t="shared" ca="1" si="7"/>
        <v>Уже не актуально</v>
      </c>
      <c r="W50" s="372">
        <v>43450</v>
      </c>
      <c r="X50" s="372">
        <v>43450</v>
      </c>
      <c r="Y50" s="372">
        <v>43450</v>
      </c>
      <c r="Z50" s="376" t="s">
        <v>111</v>
      </c>
      <c r="AA50" s="376" t="s">
        <v>111</v>
      </c>
      <c r="AB50" s="385">
        <v>43460</v>
      </c>
      <c r="AC50" s="250" t="str">
        <f t="shared" ca="1" si="8"/>
        <v>Уже не актуально</v>
      </c>
      <c r="AD50" s="251">
        <f t="shared" si="6"/>
        <v>88</v>
      </c>
      <c r="AE50" s="252"/>
      <c r="AF50" s="255" t="s">
        <v>390</v>
      </c>
      <c r="AG50" s="237"/>
      <c r="AH50" s="236"/>
      <c r="AK50" s="255" t="s">
        <v>317</v>
      </c>
      <c r="AL50" s="154"/>
    </row>
    <row r="51" spans="1:38" ht="54.95" hidden="1" customHeight="1">
      <c r="A51" s="258" t="s">
        <v>300</v>
      </c>
      <c r="B51" s="258" t="s">
        <v>19</v>
      </c>
      <c r="C51" s="258" t="s">
        <v>140</v>
      </c>
      <c r="D51" s="268" t="s">
        <v>117</v>
      </c>
      <c r="E51" s="261" t="s">
        <v>218</v>
      </c>
      <c r="F51" s="262" t="s">
        <v>157</v>
      </c>
      <c r="G51" s="258" t="s">
        <v>282</v>
      </c>
      <c r="H51" s="275" t="s">
        <v>404</v>
      </c>
      <c r="I51" s="258"/>
      <c r="J51" s="258"/>
      <c r="K51" s="258"/>
      <c r="L51" s="386">
        <v>43327</v>
      </c>
      <c r="M51" s="372">
        <v>43387</v>
      </c>
      <c r="N51" s="376"/>
      <c r="O51" s="376">
        <f>45</f>
        <v>45</v>
      </c>
      <c r="P51" s="373">
        <f t="shared" si="5"/>
        <v>43342</v>
      </c>
      <c r="Q51" s="374" t="str">
        <f t="shared" ca="1" si="9"/>
        <v>Уже не актуально</v>
      </c>
      <c r="R51" s="375" t="s">
        <v>11</v>
      </c>
      <c r="S51" s="376"/>
      <c r="T51" s="376"/>
      <c r="U51" s="372">
        <v>43426</v>
      </c>
      <c r="V51" s="374" t="str">
        <f t="shared" ca="1" si="7"/>
        <v>Уже не актуально</v>
      </c>
      <c r="W51" s="372">
        <v>43454</v>
      </c>
      <c r="X51" s="372">
        <v>43457</v>
      </c>
      <c r="Y51" s="376">
        <v>43458</v>
      </c>
      <c r="Z51" s="376" t="s">
        <v>111</v>
      </c>
      <c r="AA51" s="376" t="s">
        <v>111</v>
      </c>
      <c r="AB51" s="385">
        <v>43468</v>
      </c>
      <c r="AC51" s="250" t="str">
        <f t="shared" ca="1" si="8"/>
        <v>Уже не актуально</v>
      </c>
      <c r="AD51" s="251">
        <f t="shared" si="6"/>
        <v>81</v>
      </c>
      <c r="AE51" s="252"/>
      <c r="AF51" s="255" t="s">
        <v>407</v>
      </c>
      <c r="AG51" s="237"/>
      <c r="AH51" s="236"/>
      <c r="AK51" s="255" t="s">
        <v>317</v>
      </c>
      <c r="AL51" s="162"/>
    </row>
    <row r="52" spans="1:38" ht="54.95" hidden="1" customHeight="1">
      <c r="A52" s="258" t="s">
        <v>300</v>
      </c>
      <c r="B52" s="258" t="s">
        <v>19</v>
      </c>
      <c r="C52" s="258" t="s">
        <v>140</v>
      </c>
      <c r="D52" s="268" t="s">
        <v>117</v>
      </c>
      <c r="E52" s="261" t="s">
        <v>218</v>
      </c>
      <c r="F52" s="262" t="s">
        <v>157</v>
      </c>
      <c r="G52" s="258" t="s">
        <v>282</v>
      </c>
      <c r="H52" s="275" t="s">
        <v>405</v>
      </c>
      <c r="I52" s="258"/>
      <c r="J52" s="258"/>
      <c r="K52" s="258"/>
      <c r="L52" s="386">
        <v>43327</v>
      </c>
      <c r="M52" s="372">
        <v>43417</v>
      </c>
      <c r="N52" s="376"/>
      <c r="O52" s="376">
        <f>45</f>
        <v>45</v>
      </c>
      <c r="P52" s="373">
        <f t="shared" si="5"/>
        <v>43372</v>
      </c>
      <c r="Q52" s="374" t="str">
        <f t="shared" ca="1" si="9"/>
        <v>Уже не актуально</v>
      </c>
      <c r="R52" s="375" t="s">
        <v>11</v>
      </c>
      <c r="S52" s="376"/>
      <c r="T52" s="376"/>
      <c r="U52" s="372">
        <v>43426</v>
      </c>
      <c r="V52" s="374" t="str">
        <f t="shared" ca="1" si="7"/>
        <v>Уже не актуально</v>
      </c>
      <c r="W52" s="372">
        <v>43454</v>
      </c>
      <c r="X52" s="372">
        <v>43457</v>
      </c>
      <c r="Y52" s="376">
        <v>43458</v>
      </c>
      <c r="Z52" s="376" t="s">
        <v>111</v>
      </c>
      <c r="AA52" s="376" t="s">
        <v>111</v>
      </c>
      <c r="AB52" s="385">
        <v>43468</v>
      </c>
      <c r="AC52" s="250" t="str">
        <f t="shared" ca="1" si="8"/>
        <v>Уже не актуально</v>
      </c>
      <c r="AD52" s="251">
        <f t="shared" si="6"/>
        <v>51</v>
      </c>
      <c r="AE52" s="234"/>
      <c r="AF52" s="255" t="s">
        <v>408</v>
      </c>
      <c r="AG52" s="237"/>
      <c r="AH52" s="236"/>
      <c r="AK52" s="255" t="s">
        <v>317</v>
      </c>
      <c r="AL52" s="162"/>
    </row>
    <row r="53" spans="1:38" ht="54.95" hidden="1" customHeight="1">
      <c r="A53" s="258" t="s">
        <v>300</v>
      </c>
      <c r="B53" s="258" t="s">
        <v>19</v>
      </c>
      <c r="C53" s="258" t="s">
        <v>140</v>
      </c>
      <c r="D53" s="268" t="s">
        <v>117</v>
      </c>
      <c r="E53" s="261" t="s">
        <v>218</v>
      </c>
      <c r="F53" s="262" t="s">
        <v>157</v>
      </c>
      <c r="G53" s="258" t="s">
        <v>282</v>
      </c>
      <c r="H53" s="275" t="s">
        <v>406</v>
      </c>
      <c r="I53" s="258"/>
      <c r="J53" s="258"/>
      <c r="K53" s="258"/>
      <c r="L53" s="386">
        <v>43327</v>
      </c>
      <c r="M53" s="372">
        <v>43387</v>
      </c>
      <c r="N53" s="376"/>
      <c r="O53" s="376">
        <f>45</f>
        <v>45</v>
      </c>
      <c r="P53" s="373">
        <f t="shared" si="5"/>
        <v>43342</v>
      </c>
      <c r="Q53" s="374" t="str">
        <f t="shared" ca="1" si="9"/>
        <v>Уже не актуально</v>
      </c>
      <c r="R53" s="375" t="s">
        <v>11</v>
      </c>
      <c r="S53" s="376"/>
      <c r="T53" s="376"/>
      <c r="U53" s="372">
        <v>43426</v>
      </c>
      <c r="V53" s="374" t="str">
        <f t="shared" ca="1" si="7"/>
        <v>Уже не актуально</v>
      </c>
      <c r="W53" s="372">
        <v>43454</v>
      </c>
      <c r="X53" s="372">
        <v>43457</v>
      </c>
      <c r="Y53" s="376">
        <v>43458</v>
      </c>
      <c r="Z53" s="376" t="s">
        <v>111</v>
      </c>
      <c r="AA53" s="376" t="s">
        <v>111</v>
      </c>
      <c r="AB53" s="385">
        <v>43468</v>
      </c>
      <c r="AC53" s="250" t="str">
        <f t="shared" ca="1" si="8"/>
        <v>Уже не актуально</v>
      </c>
      <c r="AD53" s="251">
        <f t="shared" si="6"/>
        <v>81</v>
      </c>
      <c r="AE53" s="234"/>
      <c r="AF53" s="255" t="s">
        <v>409</v>
      </c>
      <c r="AG53" s="237"/>
      <c r="AH53" s="236"/>
      <c r="AK53" s="255" t="s">
        <v>317</v>
      </c>
      <c r="AL53" s="162"/>
    </row>
    <row r="54" spans="1:38" ht="54.95" hidden="1" customHeight="1">
      <c r="A54" s="258" t="s">
        <v>300</v>
      </c>
      <c r="B54" s="258" t="s">
        <v>19</v>
      </c>
      <c r="C54" s="258" t="s">
        <v>140</v>
      </c>
      <c r="D54" s="268" t="s">
        <v>117</v>
      </c>
      <c r="E54" s="261" t="s">
        <v>218</v>
      </c>
      <c r="F54" s="262" t="s">
        <v>157</v>
      </c>
      <c r="G54" s="258" t="s">
        <v>282</v>
      </c>
      <c r="H54" s="275" t="s">
        <v>489</v>
      </c>
      <c r="I54" s="258"/>
      <c r="J54" s="258"/>
      <c r="K54" s="258"/>
      <c r="L54" s="386">
        <v>43381</v>
      </c>
      <c r="M54" s="372">
        <v>43454</v>
      </c>
      <c r="N54" s="376"/>
      <c r="O54" s="376">
        <f>45</f>
        <v>45</v>
      </c>
      <c r="P54" s="373">
        <f t="shared" si="5"/>
        <v>43409</v>
      </c>
      <c r="Q54" s="374" t="str">
        <f t="shared" ca="1" si="9"/>
        <v>Уже не актуально</v>
      </c>
      <c r="R54" s="375" t="s">
        <v>11</v>
      </c>
      <c r="S54" s="376"/>
      <c r="T54" s="376"/>
      <c r="U54" s="372">
        <v>43474</v>
      </c>
      <c r="V54" s="374" t="s">
        <v>494</v>
      </c>
      <c r="W54" s="372">
        <v>43475</v>
      </c>
      <c r="X54" s="372">
        <v>43476</v>
      </c>
      <c r="Y54" s="376">
        <v>43479</v>
      </c>
      <c r="Z54" s="376" t="s">
        <v>111</v>
      </c>
      <c r="AA54" s="376" t="s">
        <v>111</v>
      </c>
      <c r="AB54" s="385">
        <v>43489</v>
      </c>
      <c r="AC54" s="250" t="str">
        <f t="shared" ca="1" si="8"/>
        <v>Уже не актуально</v>
      </c>
      <c r="AD54" s="251">
        <f t="shared" si="6"/>
        <v>35</v>
      </c>
      <c r="AE54" s="234" t="s">
        <v>475</v>
      </c>
      <c r="AF54" s="255" t="s">
        <v>490</v>
      </c>
      <c r="AG54" s="237"/>
      <c r="AH54" s="236"/>
      <c r="AK54" s="255" t="s">
        <v>317</v>
      </c>
      <c r="AL54" s="184"/>
    </row>
    <row r="55" spans="1:38" ht="54.95" hidden="1" customHeight="1">
      <c r="A55" s="258" t="s">
        <v>300</v>
      </c>
      <c r="B55" s="258" t="s">
        <v>19</v>
      </c>
      <c r="C55" s="258" t="s">
        <v>140</v>
      </c>
      <c r="D55" s="268" t="s">
        <v>117</v>
      </c>
      <c r="E55" s="261" t="s">
        <v>218</v>
      </c>
      <c r="F55" s="262" t="s">
        <v>157</v>
      </c>
      <c r="G55" s="258" t="s">
        <v>282</v>
      </c>
      <c r="H55" s="275" t="s">
        <v>542</v>
      </c>
      <c r="I55" s="258"/>
      <c r="J55" s="258"/>
      <c r="K55" s="258"/>
      <c r="L55" s="386">
        <v>43381</v>
      </c>
      <c r="M55" s="372">
        <v>43454</v>
      </c>
      <c r="N55" s="376"/>
      <c r="O55" s="376">
        <f>45</f>
        <v>45</v>
      </c>
      <c r="P55" s="373">
        <f t="shared" si="5"/>
        <v>43409</v>
      </c>
      <c r="Q55" s="374" t="str">
        <f t="shared" ca="1" si="9"/>
        <v>Уже не актуально</v>
      </c>
      <c r="R55" s="375" t="s">
        <v>11</v>
      </c>
      <c r="S55" s="376" t="s">
        <v>196</v>
      </c>
      <c r="T55" s="376"/>
      <c r="U55" s="372">
        <v>43519</v>
      </c>
      <c r="V55" s="374" t="str">
        <f ca="1">IF(U55&gt;TODAY(),IF(U55&lt;TODAY()+17,"Пора отправлять","Еще рано"),"Уже не актуально")</f>
        <v>Уже не актуально</v>
      </c>
      <c r="W55" s="372">
        <v>43519</v>
      </c>
      <c r="X55" s="372">
        <v>43520</v>
      </c>
      <c r="Y55" s="376">
        <v>43521</v>
      </c>
      <c r="Z55" s="376" t="s">
        <v>111</v>
      </c>
      <c r="AA55" s="376" t="s">
        <v>111</v>
      </c>
      <c r="AB55" s="385">
        <v>43526</v>
      </c>
      <c r="AC55" s="250" t="s">
        <v>560</v>
      </c>
      <c r="AD55" s="251">
        <f t="shared" si="6"/>
        <v>72</v>
      </c>
      <c r="AE55" s="234"/>
      <c r="AF55" s="255" t="s">
        <v>490</v>
      </c>
      <c r="AG55" s="237"/>
      <c r="AH55" s="236"/>
      <c r="AK55" s="255" t="s">
        <v>317</v>
      </c>
      <c r="AL55" s="195"/>
    </row>
    <row r="56" spans="1:38" ht="54.95" hidden="1" customHeight="1">
      <c r="A56" s="258" t="s">
        <v>300</v>
      </c>
      <c r="B56" s="258" t="s">
        <v>19</v>
      </c>
      <c r="C56" s="258" t="s">
        <v>140</v>
      </c>
      <c r="D56" s="268" t="s">
        <v>117</v>
      </c>
      <c r="E56" s="261" t="s">
        <v>218</v>
      </c>
      <c r="F56" s="262" t="s">
        <v>157</v>
      </c>
      <c r="G56" s="274" t="s">
        <v>483</v>
      </c>
      <c r="H56" s="275" t="s">
        <v>495</v>
      </c>
      <c r="I56" s="258"/>
      <c r="J56" s="258"/>
      <c r="K56" s="258"/>
      <c r="L56" s="386">
        <v>43416</v>
      </c>
      <c r="M56" s="372">
        <v>43485</v>
      </c>
      <c r="N56" s="376"/>
      <c r="O56" s="376">
        <f>45</f>
        <v>45</v>
      </c>
      <c r="P56" s="373">
        <f t="shared" si="5"/>
        <v>43440</v>
      </c>
      <c r="Q56" s="374" t="str">
        <f t="shared" ca="1" si="9"/>
        <v>Уже не актуально</v>
      </c>
      <c r="R56" s="375" t="s">
        <v>11</v>
      </c>
      <c r="S56" s="376" t="s">
        <v>196</v>
      </c>
      <c r="T56" s="376"/>
      <c r="U56" s="372">
        <v>43535</v>
      </c>
      <c r="V56" s="374" t="s">
        <v>562</v>
      </c>
      <c r="W56" s="372">
        <v>43535</v>
      </c>
      <c r="X56" s="372">
        <v>43537</v>
      </c>
      <c r="Y56" s="376">
        <v>43539</v>
      </c>
      <c r="Z56" s="376">
        <v>43528</v>
      </c>
      <c r="AA56" s="376" t="s">
        <v>111</v>
      </c>
      <c r="AB56" s="385">
        <v>43543</v>
      </c>
      <c r="AC56" s="250" t="s">
        <v>591</v>
      </c>
      <c r="AD56" s="251">
        <f t="shared" si="6"/>
        <v>58</v>
      </c>
      <c r="AE56" s="234" t="s">
        <v>595</v>
      </c>
      <c r="AF56" s="255" t="s">
        <v>496</v>
      </c>
      <c r="AG56" s="237"/>
      <c r="AH56" s="236"/>
      <c r="AK56" s="255" t="s">
        <v>317</v>
      </c>
      <c r="AL56" s="185"/>
    </row>
    <row r="57" spans="1:38" ht="54.95" hidden="1" customHeight="1">
      <c r="A57" s="258" t="s">
        <v>300</v>
      </c>
      <c r="B57" s="258" t="s">
        <v>19</v>
      </c>
      <c r="C57" s="258" t="s">
        <v>140</v>
      </c>
      <c r="D57" s="268" t="s">
        <v>117</v>
      </c>
      <c r="E57" s="261" t="s">
        <v>218</v>
      </c>
      <c r="F57" s="262" t="s">
        <v>157</v>
      </c>
      <c r="G57" s="259" t="s">
        <v>483</v>
      </c>
      <c r="H57" s="275" t="s">
        <v>552</v>
      </c>
      <c r="I57" s="258"/>
      <c r="J57" s="258"/>
      <c r="K57" s="258"/>
      <c r="L57" s="386">
        <v>43524</v>
      </c>
      <c r="M57" s="372">
        <v>43585</v>
      </c>
      <c r="N57" s="376"/>
      <c r="O57" s="376">
        <f>45</f>
        <v>45</v>
      </c>
      <c r="P57" s="373">
        <f t="shared" si="5"/>
        <v>43540</v>
      </c>
      <c r="Q57" s="374" t="s">
        <v>589</v>
      </c>
      <c r="R57" s="375" t="s">
        <v>11</v>
      </c>
      <c r="S57" s="376" t="s">
        <v>655</v>
      </c>
      <c r="T57" s="376"/>
      <c r="U57" s="372">
        <f>M57</f>
        <v>43585</v>
      </c>
      <c r="V57" s="374" t="str">
        <f ca="1">IF(U57&gt;TODAY(),IF(U57&lt;TODAY()+17,"Пора отправлять","Еще рано"),"Уже не актуально")</f>
        <v>Уже не актуально</v>
      </c>
      <c r="W57" s="372">
        <v>43585</v>
      </c>
      <c r="X57" s="372">
        <v>43590</v>
      </c>
      <c r="Y57" s="376">
        <v>43592</v>
      </c>
      <c r="Z57" s="376"/>
      <c r="AA57" s="376" t="str">
        <f>IF(Z57="","Рано","когда?")</f>
        <v>Рано</v>
      </c>
      <c r="AB57" s="385">
        <v>43600</v>
      </c>
      <c r="AC57" s="250" t="str">
        <f t="shared" ref="AC57:AC91" ca="1" si="10">IF(AB57&lt;TODAY()-5,IF(AB57="","Еще рано","Уже не актуально"),IF(AB57&gt;TODAY()-2,"Еще рано","Пора отправлять"))</f>
        <v>Уже не актуально</v>
      </c>
      <c r="AD57" s="251">
        <f t="shared" si="6"/>
        <v>15</v>
      </c>
      <c r="AE57" s="234" t="s">
        <v>593</v>
      </c>
      <c r="AF57" s="255" t="s">
        <v>594</v>
      </c>
      <c r="AG57" s="237"/>
      <c r="AH57" s="236"/>
      <c r="AK57" s="255" t="s">
        <v>317</v>
      </c>
      <c r="AL57" s="195"/>
    </row>
    <row r="58" spans="1:38" ht="54.95" hidden="1" customHeight="1">
      <c r="A58" s="258" t="s">
        <v>300</v>
      </c>
      <c r="B58" s="258" t="s">
        <v>19</v>
      </c>
      <c r="C58" s="258" t="s">
        <v>140</v>
      </c>
      <c r="D58" s="268" t="s">
        <v>117</v>
      </c>
      <c r="E58" s="261" t="s">
        <v>218</v>
      </c>
      <c r="F58" s="262" t="s">
        <v>157</v>
      </c>
      <c r="G58" s="259" t="s">
        <v>483</v>
      </c>
      <c r="H58" s="275" t="s">
        <v>553</v>
      </c>
      <c r="I58" s="258"/>
      <c r="J58" s="258"/>
      <c r="K58" s="258"/>
      <c r="L58" s="386">
        <v>43528</v>
      </c>
      <c r="M58" s="372">
        <v>43573</v>
      </c>
      <c r="N58" s="376"/>
      <c r="O58" s="376">
        <f>45</f>
        <v>45</v>
      </c>
      <c r="P58" s="373">
        <f t="shared" si="5"/>
        <v>43528</v>
      </c>
      <c r="Q58" s="374" t="s">
        <v>559</v>
      </c>
      <c r="R58" s="375" t="s">
        <v>11</v>
      </c>
      <c r="S58" s="376"/>
      <c r="T58" s="376"/>
      <c r="U58" s="372">
        <v>43567</v>
      </c>
      <c r="V58" s="374" t="s">
        <v>617</v>
      </c>
      <c r="W58" s="372">
        <v>43621</v>
      </c>
      <c r="X58" s="372">
        <v>43628</v>
      </c>
      <c r="Y58" s="372">
        <v>43628</v>
      </c>
      <c r="Z58" s="376"/>
      <c r="AA58" s="376"/>
      <c r="AB58" s="385">
        <v>43628</v>
      </c>
      <c r="AC58" s="250" t="str">
        <f t="shared" ca="1" si="10"/>
        <v>Уже не актуально</v>
      </c>
      <c r="AD58" s="251">
        <f t="shared" si="6"/>
        <v>55</v>
      </c>
      <c r="AE58" s="234" t="s">
        <v>657</v>
      </c>
      <c r="AF58" s="255" t="s">
        <v>556</v>
      </c>
      <c r="AG58" s="237"/>
      <c r="AH58" s="236"/>
      <c r="AK58" s="255" t="s">
        <v>317</v>
      </c>
      <c r="AL58" s="195"/>
    </row>
    <row r="59" spans="1:38" ht="54.95" hidden="1" customHeight="1">
      <c r="A59" s="258" t="s">
        <v>300</v>
      </c>
      <c r="B59" s="258" t="s">
        <v>19</v>
      </c>
      <c r="C59" s="258" t="s">
        <v>140</v>
      </c>
      <c r="D59" s="268" t="s">
        <v>117</v>
      </c>
      <c r="E59" s="261" t="s">
        <v>218</v>
      </c>
      <c r="F59" s="262" t="s">
        <v>157</v>
      </c>
      <c r="G59" s="259" t="s">
        <v>483</v>
      </c>
      <c r="H59" s="275" t="s">
        <v>554</v>
      </c>
      <c r="I59" s="258"/>
      <c r="J59" s="258"/>
      <c r="K59" s="258"/>
      <c r="L59" s="386">
        <v>43514</v>
      </c>
      <c r="M59" s="372">
        <v>43573</v>
      </c>
      <c r="N59" s="376"/>
      <c r="O59" s="376">
        <f>45</f>
        <v>45</v>
      </c>
      <c r="P59" s="373">
        <f t="shared" si="5"/>
        <v>43528</v>
      </c>
      <c r="Q59" s="374" t="s">
        <v>559</v>
      </c>
      <c r="R59" s="375" t="s">
        <v>11</v>
      </c>
      <c r="S59" s="376"/>
      <c r="T59" s="376"/>
      <c r="U59" s="372">
        <v>43575</v>
      </c>
      <c r="V59" s="374" t="str">
        <f t="shared" ref="V59:V69" ca="1" si="11">IF(U59&gt;TODAY(),IF(U59&lt;TODAY()+17,"Пора отправлять","Еще рано"),"Уже не актуально")</f>
        <v>Уже не актуально</v>
      </c>
      <c r="W59" s="372">
        <v>43610</v>
      </c>
      <c r="X59" s="372">
        <v>43612</v>
      </c>
      <c r="Y59" s="376">
        <v>43613</v>
      </c>
      <c r="Z59" s="376"/>
      <c r="AA59" s="376" t="str">
        <f t="shared" ref="AA59:AA64" si="12">IF(Z59="","Рано","когда?")</f>
        <v>Рано</v>
      </c>
      <c r="AB59" s="385">
        <v>43628</v>
      </c>
      <c r="AC59" s="250" t="str">
        <f t="shared" ca="1" si="10"/>
        <v>Уже не актуально</v>
      </c>
      <c r="AD59" s="251">
        <f t="shared" si="6"/>
        <v>55</v>
      </c>
      <c r="AE59" s="234"/>
      <c r="AF59" s="255" t="s">
        <v>557</v>
      </c>
      <c r="AG59" s="237"/>
      <c r="AH59" s="236"/>
      <c r="AK59" s="255" t="s">
        <v>317</v>
      </c>
      <c r="AL59" s="195"/>
    </row>
    <row r="60" spans="1:38" ht="54.95" hidden="1" customHeight="1">
      <c r="A60" s="258" t="s">
        <v>300</v>
      </c>
      <c r="B60" s="258" t="s">
        <v>19</v>
      </c>
      <c r="C60" s="258" t="s">
        <v>140</v>
      </c>
      <c r="D60" s="268" t="s">
        <v>117</v>
      </c>
      <c r="E60" s="261" t="s">
        <v>218</v>
      </c>
      <c r="F60" s="262" t="s">
        <v>157</v>
      </c>
      <c r="G60" s="259" t="s">
        <v>483</v>
      </c>
      <c r="H60" s="275" t="s">
        <v>555</v>
      </c>
      <c r="I60" s="258"/>
      <c r="J60" s="258"/>
      <c r="K60" s="258"/>
      <c r="L60" s="386">
        <v>43514</v>
      </c>
      <c r="M60" s="372">
        <v>43573</v>
      </c>
      <c r="N60" s="376"/>
      <c r="O60" s="376">
        <f>45</f>
        <v>45</v>
      </c>
      <c r="P60" s="373">
        <f t="shared" si="5"/>
        <v>43528</v>
      </c>
      <c r="Q60" s="374" t="s">
        <v>559</v>
      </c>
      <c r="R60" s="375" t="s">
        <v>11</v>
      </c>
      <c r="S60" s="376"/>
      <c r="T60" s="376"/>
      <c r="U60" s="372">
        <v>43575</v>
      </c>
      <c r="V60" s="374" t="str">
        <f t="shared" ca="1" si="11"/>
        <v>Уже не актуально</v>
      </c>
      <c r="W60" s="372">
        <v>43610</v>
      </c>
      <c r="X60" s="372">
        <v>43612</v>
      </c>
      <c r="Y60" s="376">
        <v>43613</v>
      </c>
      <c r="Z60" s="376"/>
      <c r="AA60" s="376" t="str">
        <f t="shared" si="12"/>
        <v>Рано</v>
      </c>
      <c r="AB60" s="385">
        <v>43628</v>
      </c>
      <c r="AC60" s="250" t="str">
        <f t="shared" ca="1" si="10"/>
        <v>Уже не актуально</v>
      </c>
      <c r="AD60" s="251">
        <f t="shared" si="6"/>
        <v>55</v>
      </c>
      <c r="AE60" s="234"/>
      <c r="AF60" s="255" t="s">
        <v>558</v>
      </c>
      <c r="AG60" s="237"/>
      <c r="AH60" s="236"/>
      <c r="AK60" s="255" t="s">
        <v>317</v>
      </c>
      <c r="AL60" s="195"/>
    </row>
    <row r="61" spans="1:38" ht="54.95" hidden="1" customHeight="1">
      <c r="A61" s="258" t="s">
        <v>300</v>
      </c>
      <c r="B61" s="258" t="s">
        <v>19</v>
      </c>
      <c r="C61" s="258" t="s">
        <v>140</v>
      </c>
      <c r="D61" s="268" t="s">
        <v>117</v>
      </c>
      <c r="E61" s="261" t="s">
        <v>218</v>
      </c>
      <c r="F61" s="262" t="s">
        <v>157</v>
      </c>
      <c r="G61" s="259" t="s">
        <v>483</v>
      </c>
      <c r="H61" s="275" t="s">
        <v>587</v>
      </c>
      <c r="I61" s="258"/>
      <c r="J61" s="258"/>
      <c r="K61" s="258"/>
      <c r="L61" s="386">
        <v>43539</v>
      </c>
      <c r="M61" s="372">
        <v>43595</v>
      </c>
      <c r="N61" s="376"/>
      <c r="O61" s="376">
        <f>45</f>
        <v>45</v>
      </c>
      <c r="P61" s="373">
        <f t="shared" si="5"/>
        <v>43550</v>
      </c>
      <c r="Q61" s="374" t="s">
        <v>584</v>
      </c>
      <c r="R61" s="375" t="s">
        <v>11</v>
      </c>
      <c r="S61" s="376"/>
      <c r="T61" s="376"/>
      <c r="U61" s="372">
        <f t="shared" ref="U61:U69" si="13">M61</f>
        <v>43595</v>
      </c>
      <c r="V61" s="374" t="str">
        <f t="shared" ca="1" si="11"/>
        <v>Уже не актуально</v>
      </c>
      <c r="W61" s="372">
        <v>43621</v>
      </c>
      <c r="X61" s="372">
        <v>43628</v>
      </c>
      <c r="Y61" s="372">
        <v>43628</v>
      </c>
      <c r="Z61" s="376"/>
      <c r="AA61" s="376" t="str">
        <f t="shared" si="12"/>
        <v>Рано</v>
      </c>
      <c r="AB61" s="385">
        <v>43628</v>
      </c>
      <c r="AC61" s="250" t="str">
        <f t="shared" ca="1" si="10"/>
        <v>Уже не актуально</v>
      </c>
      <c r="AD61" s="251">
        <f t="shared" si="6"/>
        <v>33</v>
      </c>
      <c r="AE61" s="234"/>
      <c r="AF61" s="255" t="s">
        <v>598</v>
      </c>
      <c r="AG61" s="237"/>
      <c r="AH61" s="236"/>
      <c r="AK61" s="255" t="s">
        <v>317</v>
      </c>
      <c r="AL61" s="201"/>
    </row>
    <row r="62" spans="1:38" ht="54.95" hidden="1" customHeight="1">
      <c r="A62" s="258" t="s">
        <v>300</v>
      </c>
      <c r="B62" s="258" t="s">
        <v>19</v>
      </c>
      <c r="C62" s="258" t="s">
        <v>140</v>
      </c>
      <c r="D62" s="268" t="s">
        <v>117</v>
      </c>
      <c r="E62" s="261" t="s">
        <v>218</v>
      </c>
      <c r="F62" s="262" t="s">
        <v>157</v>
      </c>
      <c r="G62" s="259" t="s">
        <v>483</v>
      </c>
      <c r="H62" s="275" t="s">
        <v>588</v>
      </c>
      <c r="I62" s="258"/>
      <c r="J62" s="258"/>
      <c r="K62" s="258"/>
      <c r="L62" s="386">
        <v>43539</v>
      </c>
      <c r="M62" s="372">
        <v>43595</v>
      </c>
      <c r="N62" s="376"/>
      <c r="O62" s="376">
        <f>45</f>
        <v>45</v>
      </c>
      <c r="P62" s="373">
        <f t="shared" si="5"/>
        <v>43550</v>
      </c>
      <c r="Q62" s="374" t="s">
        <v>585</v>
      </c>
      <c r="R62" s="375" t="s">
        <v>11</v>
      </c>
      <c r="S62" s="479"/>
      <c r="T62" s="376"/>
      <c r="U62" s="372">
        <f t="shared" si="13"/>
        <v>43595</v>
      </c>
      <c r="V62" s="374" t="str">
        <f t="shared" ca="1" si="11"/>
        <v>Уже не актуально</v>
      </c>
      <c r="W62" s="372">
        <v>43610</v>
      </c>
      <c r="X62" s="372">
        <v>43612</v>
      </c>
      <c r="Y62" s="376">
        <v>43613</v>
      </c>
      <c r="Z62" s="376"/>
      <c r="AA62" s="376" t="str">
        <f t="shared" si="12"/>
        <v>Рано</v>
      </c>
      <c r="AB62" s="479">
        <v>43621</v>
      </c>
      <c r="AC62" s="250" t="str">
        <f t="shared" ca="1" si="10"/>
        <v>Уже не актуально</v>
      </c>
      <c r="AD62" s="251">
        <f t="shared" si="6"/>
        <v>26</v>
      </c>
      <c r="AE62" s="234"/>
      <c r="AF62" s="255" t="s">
        <v>599</v>
      </c>
      <c r="AG62" s="237"/>
      <c r="AH62" s="236"/>
      <c r="AK62" s="255" t="s">
        <v>317</v>
      </c>
      <c r="AL62" s="201"/>
    </row>
    <row r="63" spans="1:38" ht="54.95" hidden="1" customHeight="1">
      <c r="A63" s="258" t="s">
        <v>300</v>
      </c>
      <c r="B63" s="258" t="s">
        <v>19</v>
      </c>
      <c r="C63" s="258" t="s">
        <v>140</v>
      </c>
      <c r="D63" s="268" t="s">
        <v>117</v>
      </c>
      <c r="E63" s="261" t="s">
        <v>218</v>
      </c>
      <c r="F63" s="262" t="s">
        <v>157</v>
      </c>
      <c r="G63" s="259" t="s">
        <v>483</v>
      </c>
      <c r="H63" s="275" t="s">
        <v>583</v>
      </c>
      <c r="I63" s="258"/>
      <c r="J63" s="258"/>
      <c r="K63" s="258"/>
      <c r="L63" s="386">
        <v>43539</v>
      </c>
      <c r="M63" s="372">
        <v>43595</v>
      </c>
      <c r="N63" s="376"/>
      <c r="O63" s="376">
        <f>45</f>
        <v>45</v>
      </c>
      <c r="P63" s="373">
        <f t="shared" si="5"/>
        <v>43550</v>
      </c>
      <c r="Q63" s="374" t="s">
        <v>586</v>
      </c>
      <c r="R63" s="375" t="s">
        <v>11</v>
      </c>
      <c r="S63" s="480"/>
      <c r="T63" s="376"/>
      <c r="U63" s="372">
        <f t="shared" si="13"/>
        <v>43595</v>
      </c>
      <c r="V63" s="374" t="str">
        <f t="shared" ca="1" si="11"/>
        <v>Уже не актуально</v>
      </c>
      <c r="W63" s="372">
        <v>43610</v>
      </c>
      <c r="X63" s="372">
        <v>43612</v>
      </c>
      <c r="Y63" s="376">
        <v>43613</v>
      </c>
      <c r="Z63" s="376"/>
      <c r="AA63" s="376" t="str">
        <f t="shared" si="12"/>
        <v>Рано</v>
      </c>
      <c r="AB63" s="480"/>
      <c r="AC63" s="250" t="str">
        <f t="shared" ca="1" si="10"/>
        <v>Еще рано</v>
      </c>
      <c r="AD63" s="251">
        <f t="shared" si="6"/>
        <v>-43595</v>
      </c>
      <c r="AE63" s="234"/>
      <c r="AF63" s="255" t="s">
        <v>600</v>
      </c>
      <c r="AG63" s="237"/>
      <c r="AH63" s="236"/>
      <c r="AK63" s="255" t="s">
        <v>317</v>
      </c>
      <c r="AL63" s="201"/>
    </row>
    <row r="64" spans="1:38" ht="54.95" hidden="1" customHeight="1">
      <c r="A64" s="258" t="s">
        <v>300</v>
      </c>
      <c r="B64" s="258" t="s">
        <v>19</v>
      </c>
      <c r="C64" s="258" t="s">
        <v>140</v>
      </c>
      <c r="D64" s="268" t="s">
        <v>117</v>
      </c>
      <c r="E64" s="261" t="s">
        <v>218</v>
      </c>
      <c r="F64" s="262" t="s">
        <v>157</v>
      </c>
      <c r="G64" s="259" t="s">
        <v>483</v>
      </c>
      <c r="H64" s="275" t="s">
        <v>652</v>
      </c>
      <c r="I64" s="258"/>
      <c r="J64" s="258"/>
      <c r="K64" s="258"/>
      <c r="L64" s="386">
        <v>43584</v>
      </c>
      <c r="M64" s="372">
        <v>43629</v>
      </c>
      <c r="N64" s="376"/>
      <c r="O64" s="376">
        <f>45</f>
        <v>45</v>
      </c>
      <c r="P64" s="373">
        <f t="shared" si="5"/>
        <v>43584</v>
      </c>
      <c r="Q64" s="374" t="str">
        <f t="shared" ref="Q64:Q81" ca="1" si="14">IF(P64&gt;=TODAY()-5,IF(P64&lt;TODAY()+6,"Пора отправлять","Еще рано"),"Уже не актуально")</f>
        <v>Уже не актуально</v>
      </c>
      <c r="R64" s="375" t="s">
        <v>11</v>
      </c>
      <c r="S64" s="376"/>
      <c r="T64" s="376"/>
      <c r="U64" s="372">
        <f t="shared" si="13"/>
        <v>43629</v>
      </c>
      <c r="V64" s="374" t="str">
        <f t="shared" ca="1" si="11"/>
        <v>Уже не актуально</v>
      </c>
      <c r="W64" s="372">
        <v>43650</v>
      </c>
      <c r="X64" s="372">
        <v>43652</v>
      </c>
      <c r="Y64" s="376">
        <v>43654</v>
      </c>
      <c r="Z64" s="376"/>
      <c r="AA64" s="376" t="str">
        <f t="shared" si="12"/>
        <v>Рано</v>
      </c>
      <c r="AB64" s="385">
        <v>43663</v>
      </c>
      <c r="AC64" s="250" t="str">
        <f t="shared" ca="1" si="10"/>
        <v>Уже не актуально</v>
      </c>
      <c r="AD64" s="251">
        <f t="shared" si="6"/>
        <v>34</v>
      </c>
      <c r="AE64" s="234" t="s">
        <v>666</v>
      </c>
      <c r="AF64" s="255" t="s">
        <v>665</v>
      </c>
      <c r="AG64" s="237"/>
      <c r="AH64" s="236"/>
      <c r="AK64" s="255" t="s">
        <v>317</v>
      </c>
      <c r="AL64" s="201"/>
    </row>
    <row r="65" spans="1:38" ht="54.95" hidden="1" customHeight="1">
      <c r="A65" s="258" t="s">
        <v>300</v>
      </c>
      <c r="B65" s="258" t="s">
        <v>19</v>
      </c>
      <c r="C65" s="258" t="s">
        <v>140</v>
      </c>
      <c r="D65" s="268" t="s">
        <v>117</v>
      </c>
      <c r="E65" s="261" t="s">
        <v>218</v>
      </c>
      <c r="F65" s="262" t="s">
        <v>157</v>
      </c>
      <c r="G65" s="259" t="s">
        <v>483</v>
      </c>
      <c r="H65" s="275" t="s">
        <v>653</v>
      </c>
      <c r="I65" s="258"/>
      <c r="J65" s="258"/>
      <c r="K65" s="258"/>
      <c r="L65" s="386">
        <v>43585</v>
      </c>
      <c r="M65" s="372">
        <v>43631</v>
      </c>
      <c r="N65" s="376"/>
      <c r="O65" s="376">
        <v>45</v>
      </c>
      <c r="P65" s="373"/>
      <c r="Q65" s="374" t="str">
        <f t="shared" ca="1" si="14"/>
        <v>Уже не актуально</v>
      </c>
      <c r="R65" s="375" t="s">
        <v>11</v>
      </c>
      <c r="S65" s="376"/>
      <c r="T65" s="376"/>
      <c r="U65" s="372">
        <f t="shared" si="13"/>
        <v>43631</v>
      </c>
      <c r="V65" s="374" t="str">
        <f t="shared" ca="1" si="11"/>
        <v>Уже не актуально</v>
      </c>
      <c r="W65" s="372">
        <v>43650</v>
      </c>
      <c r="X65" s="372">
        <v>43652</v>
      </c>
      <c r="Y65" s="376">
        <v>43654</v>
      </c>
      <c r="Z65" s="376"/>
      <c r="AA65" s="376"/>
      <c r="AB65" s="385">
        <v>43651</v>
      </c>
      <c r="AC65" s="250" t="str">
        <f t="shared" ca="1" si="10"/>
        <v>Уже не актуально</v>
      </c>
      <c r="AD65" s="251">
        <f t="shared" si="6"/>
        <v>20</v>
      </c>
      <c r="AE65" s="234" t="s">
        <v>729</v>
      </c>
      <c r="AF65" s="255" t="s">
        <v>665</v>
      </c>
      <c r="AG65" s="237"/>
      <c r="AH65" s="236"/>
      <c r="AK65" s="255" t="s">
        <v>317</v>
      </c>
      <c r="AL65" s="209"/>
    </row>
    <row r="66" spans="1:38" ht="54.95" hidden="1" customHeight="1">
      <c r="A66" s="258" t="s">
        <v>300</v>
      </c>
      <c r="B66" s="258" t="s">
        <v>19</v>
      </c>
      <c r="C66" s="258" t="s">
        <v>140</v>
      </c>
      <c r="D66" s="268" t="s">
        <v>117</v>
      </c>
      <c r="E66" s="261" t="s">
        <v>218</v>
      </c>
      <c r="F66" s="262" t="s">
        <v>157</v>
      </c>
      <c r="G66" s="259" t="s">
        <v>483</v>
      </c>
      <c r="H66" s="275" t="s">
        <v>654</v>
      </c>
      <c r="I66" s="258"/>
      <c r="J66" s="258"/>
      <c r="K66" s="258"/>
      <c r="L66" s="386">
        <v>43584</v>
      </c>
      <c r="M66" s="372">
        <v>43629</v>
      </c>
      <c r="N66" s="376"/>
      <c r="O66" s="376">
        <v>45</v>
      </c>
      <c r="P66" s="373"/>
      <c r="Q66" s="374" t="str">
        <f t="shared" ca="1" si="14"/>
        <v>Уже не актуально</v>
      </c>
      <c r="R66" s="375" t="s">
        <v>11</v>
      </c>
      <c r="S66" s="376"/>
      <c r="T66" s="376"/>
      <c r="U66" s="372">
        <f t="shared" si="13"/>
        <v>43629</v>
      </c>
      <c r="V66" s="374" t="str">
        <f t="shared" ca="1" si="11"/>
        <v>Уже не актуально</v>
      </c>
      <c r="W66" s="372">
        <v>43675</v>
      </c>
      <c r="X66" s="372">
        <v>43678</v>
      </c>
      <c r="Y66" s="376">
        <v>43679</v>
      </c>
      <c r="Z66" s="376"/>
      <c r="AA66" s="376"/>
      <c r="AB66" s="385">
        <v>43651</v>
      </c>
      <c r="AC66" s="250" t="str">
        <f t="shared" ca="1" si="10"/>
        <v>Уже не актуально</v>
      </c>
      <c r="AD66" s="251">
        <f t="shared" si="6"/>
        <v>22</v>
      </c>
      <c r="AE66" s="234" t="s">
        <v>667</v>
      </c>
      <c r="AF66" s="255" t="s">
        <v>665</v>
      </c>
      <c r="AG66" s="237"/>
      <c r="AH66" s="236"/>
      <c r="AK66" s="255" t="s">
        <v>317</v>
      </c>
      <c r="AL66" s="209"/>
    </row>
    <row r="67" spans="1:38" ht="54.95" hidden="1" customHeight="1">
      <c r="A67" s="258" t="s">
        <v>300</v>
      </c>
      <c r="B67" s="258" t="s">
        <v>19</v>
      </c>
      <c r="C67" s="258" t="s">
        <v>140</v>
      </c>
      <c r="D67" s="268" t="s">
        <v>117</v>
      </c>
      <c r="E67" s="261" t="s">
        <v>218</v>
      </c>
      <c r="F67" s="262" t="s">
        <v>157</v>
      </c>
      <c r="G67" s="259" t="s">
        <v>483</v>
      </c>
      <c r="H67" s="275" t="s">
        <v>688</v>
      </c>
      <c r="I67" s="258"/>
      <c r="J67" s="258"/>
      <c r="K67" s="258"/>
      <c r="L67" s="386">
        <v>43607</v>
      </c>
      <c r="M67" s="372">
        <v>43667</v>
      </c>
      <c r="N67" s="376"/>
      <c r="O67" s="376">
        <v>45</v>
      </c>
      <c r="P67" s="373"/>
      <c r="Q67" s="374" t="str">
        <f t="shared" ca="1" si="14"/>
        <v>Уже не актуально</v>
      </c>
      <c r="R67" s="375" t="s">
        <v>11</v>
      </c>
      <c r="S67" s="376"/>
      <c r="T67" s="376"/>
      <c r="U67" s="372">
        <f t="shared" si="13"/>
        <v>43667</v>
      </c>
      <c r="V67" s="374" t="str">
        <f t="shared" ca="1" si="11"/>
        <v>Уже не актуально</v>
      </c>
      <c r="W67" s="372">
        <v>43675</v>
      </c>
      <c r="X67" s="372">
        <v>43685</v>
      </c>
      <c r="Y67" s="376">
        <v>43686</v>
      </c>
      <c r="Z67" s="376"/>
      <c r="AA67" s="376"/>
      <c r="AB67" s="385">
        <v>43653</v>
      </c>
      <c r="AC67" s="250" t="str">
        <f t="shared" ca="1" si="10"/>
        <v>Уже не актуально</v>
      </c>
      <c r="AD67" s="251">
        <f t="shared" si="6"/>
        <v>-14</v>
      </c>
      <c r="AE67" s="234"/>
      <c r="AF67" s="255"/>
      <c r="AG67" s="237"/>
      <c r="AH67" s="236"/>
      <c r="AK67" s="255" t="s">
        <v>317</v>
      </c>
      <c r="AL67" s="210"/>
    </row>
    <row r="68" spans="1:38" ht="54.95" hidden="1" customHeight="1">
      <c r="A68" s="258" t="s">
        <v>300</v>
      </c>
      <c r="B68" s="258" t="s">
        <v>19</v>
      </c>
      <c r="C68" s="258" t="s">
        <v>140</v>
      </c>
      <c r="D68" s="268" t="s">
        <v>117</v>
      </c>
      <c r="E68" s="261" t="s">
        <v>218</v>
      </c>
      <c r="F68" s="262" t="s">
        <v>157</v>
      </c>
      <c r="G68" s="259" t="s">
        <v>483</v>
      </c>
      <c r="H68" s="275" t="s">
        <v>689</v>
      </c>
      <c r="I68" s="258"/>
      <c r="J68" s="258"/>
      <c r="K68" s="258"/>
      <c r="L68" s="386">
        <v>43620</v>
      </c>
      <c r="M68" s="372">
        <v>43680</v>
      </c>
      <c r="N68" s="376"/>
      <c r="O68" s="376">
        <v>45</v>
      </c>
      <c r="P68" s="373"/>
      <c r="Q68" s="374" t="str">
        <f t="shared" ca="1" si="14"/>
        <v>Уже не актуально</v>
      </c>
      <c r="R68" s="375" t="s">
        <v>11</v>
      </c>
      <c r="S68" s="376"/>
      <c r="T68" s="376"/>
      <c r="U68" s="372">
        <f t="shared" si="13"/>
        <v>43680</v>
      </c>
      <c r="V68" s="374" t="str">
        <f t="shared" ca="1" si="11"/>
        <v>Уже не актуально</v>
      </c>
      <c r="W68" s="372">
        <v>43675</v>
      </c>
      <c r="X68" s="372">
        <v>43685</v>
      </c>
      <c r="Y68" s="376">
        <v>43686</v>
      </c>
      <c r="Z68" s="376"/>
      <c r="AA68" s="376"/>
      <c r="AB68" s="385">
        <v>43653</v>
      </c>
      <c r="AC68" s="250" t="str">
        <f t="shared" ca="1" si="10"/>
        <v>Уже не актуально</v>
      </c>
      <c r="AD68" s="251">
        <f t="shared" si="6"/>
        <v>-27</v>
      </c>
      <c r="AE68" s="234"/>
      <c r="AF68" s="255"/>
      <c r="AG68" s="237"/>
      <c r="AH68" s="236"/>
      <c r="AK68" s="255" t="s">
        <v>317</v>
      </c>
      <c r="AL68" s="210"/>
    </row>
    <row r="69" spans="1:38" ht="54.95" hidden="1" customHeight="1">
      <c r="A69" s="258" t="s">
        <v>300</v>
      </c>
      <c r="B69" s="258" t="s">
        <v>19</v>
      </c>
      <c r="C69" s="258" t="s">
        <v>140</v>
      </c>
      <c r="D69" s="268" t="s">
        <v>117</v>
      </c>
      <c r="E69" s="261" t="s">
        <v>218</v>
      </c>
      <c r="F69" s="262" t="s">
        <v>157</v>
      </c>
      <c r="G69" s="259" t="s">
        <v>483</v>
      </c>
      <c r="H69" s="275" t="s">
        <v>690</v>
      </c>
      <c r="I69" s="258"/>
      <c r="J69" s="258"/>
      <c r="K69" s="258"/>
      <c r="L69" s="386">
        <v>43620</v>
      </c>
      <c r="M69" s="372">
        <v>43680</v>
      </c>
      <c r="N69" s="376"/>
      <c r="O69" s="376">
        <v>45</v>
      </c>
      <c r="P69" s="373"/>
      <c r="Q69" s="374" t="str">
        <f t="shared" ca="1" si="14"/>
        <v>Уже не актуально</v>
      </c>
      <c r="R69" s="375" t="s">
        <v>11</v>
      </c>
      <c r="S69" s="376"/>
      <c r="T69" s="376"/>
      <c r="U69" s="372">
        <f t="shared" si="13"/>
        <v>43680</v>
      </c>
      <c r="V69" s="374" t="str">
        <f t="shared" ca="1" si="11"/>
        <v>Уже не актуально</v>
      </c>
      <c r="W69" s="372">
        <v>43675</v>
      </c>
      <c r="X69" s="372">
        <v>43678</v>
      </c>
      <c r="Y69" s="376">
        <v>43693</v>
      </c>
      <c r="Z69" s="376"/>
      <c r="AA69" s="376"/>
      <c r="AB69" s="385">
        <v>43698</v>
      </c>
      <c r="AC69" s="250" t="str">
        <f t="shared" ca="1" si="10"/>
        <v>Уже не актуально</v>
      </c>
      <c r="AD69" s="251">
        <f t="shared" si="6"/>
        <v>18</v>
      </c>
      <c r="AE69" s="234" t="s">
        <v>739</v>
      </c>
      <c r="AF69" s="255"/>
      <c r="AG69" s="237"/>
      <c r="AH69" s="236"/>
      <c r="AK69" s="255" t="s">
        <v>317</v>
      </c>
      <c r="AL69" s="212"/>
    </row>
    <row r="70" spans="1:38" ht="54.95" hidden="1" customHeight="1">
      <c r="A70" s="258" t="s">
        <v>300</v>
      </c>
      <c r="B70" s="258" t="s">
        <v>19</v>
      </c>
      <c r="C70" s="258" t="s">
        <v>140</v>
      </c>
      <c r="D70" s="268" t="s">
        <v>117</v>
      </c>
      <c r="E70" s="261" t="s">
        <v>218</v>
      </c>
      <c r="F70" s="262" t="s">
        <v>157</v>
      </c>
      <c r="G70" s="259" t="s">
        <v>483</v>
      </c>
      <c r="H70" s="275" t="s">
        <v>691</v>
      </c>
      <c r="I70" s="258"/>
      <c r="J70" s="258"/>
      <c r="K70" s="258"/>
      <c r="L70" s="386">
        <v>43584</v>
      </c>
      <c r="M70" s="372">
        <v>43659</v>
      </c>
      <c r="N70" s="376"/>
      <c r="O70" s="376">
        <v>45</v>
      </c>
      <c r="P70" s="373"/>
      <c r="Q70" s="374" t="str">
        <f t="shared" ca="1" si="14"/>
        <v>Уже не актуально</v>
      </c>
      <c r="R70" s="375" t="s">
        <v>11</v>
      </c>
      <c r="S70" s="376"/>
      <c r="T70" s="376"/>
      <c r="U70" s="372">
        <v>43723</v>
      </c>
      <c r="V70" s="374" t="s">
        <v>196</v>
      </c>
      <c r="W70" s="372">
        <v>43675</v>
      </c>
      <c r="X70" s="372">
        <v>43678</v>
      </c>
      <c r="Y70" s="376">
        <v>43693</v>
      </c>
      <c r="Z70" s="376"/>
      <c r="AA70" s="376"/>
      <c r="AB70" s="385">
        <v>43698</v>
      </c>
      <c r="AC70" s="250" t="str">
        <f t="shared" ca="1" si="10"/>
        <v>Уже не актуально</v>
      </c>
      <c r="AD70" s="251">
        <f t="shared" si="6"/>
        <v>39</v>
      </c>
      <c r="AE70" s="234"/>
      <c r="AF70" s="255"/>
      <c r="AG70" s="237"/>
      <c r="AH70" s="236"/>
      <c r="AK70" s="255" t="s">
        <v>317</v>
      </c>
      <c r="AL70" s="212"/>
    </row>
    <row r="71" spans="1:38" ht="54.95" hidden="1" customHeight="1">
      <c r="A71" s="258" t="s">
        <v>300</v>
      </c>
      <c r="B71" s="258" t="s">
        <v>19</v>
      </c>
      <c r="C71" s="258" t="s">
        <v>140</v>
      </c>
      <c r="D71" s="268" t="s">
        <v>117</v>
      </c>
      <c r="E71" s="261" t="s">
        <v>218</v>
      </c>
      <c r="F71" s="262" t="s">
        <v>157</v>
      </c>
      <c r="G71" s="259" t="s">
        <v>483</v>
      </c>
      <c r="H71" s="275" t="s">
        <v>709</v>
      </c>
      <c r="I71" s="258"/>
      <c r="J71" s="258"/>
      <c r="K71" s="258"/>
      <c r="L71" s="386">
        <v>43642</v>
      </c>
      <c r="M71" s="372">
        <v>43692</v>
      </c>
      <c r="N71" s="376"/>
      <c r="O71" s="376">
        <v>45</v>
      </c>
      <c r="P71" s="373"/>
      <c r="Q71" s="374" t="str">
        <f t="shared" ca="1" si="14"/>
        <v>Уже не актуально</v>
      </c>
      <c r="R71" s="375" t="s">
        <v>11</v>
      </c>
      <c r="S71" s="376"/>
      <c r="T71" s="376"/>
      <c r="U71" s="372">
        <v>43707</v>
      </c>
      <c r="V71" s="374" t="s">
        <v>196</v>
      </c>
      <c r="W71" s="372">
        <v>43717</v>
      </c>
      <c r="X71" s="372">
        <v>43717</v>
      </c>
      <c r="Y71" s="372">
        <v>43717</v>
      </c>
      <c r="Z71" s="376"/>
      <c r="AA71" s="376"/>
      <c r="AB71" s="385">
        <v>43719</v>
      </c>
      <c r="AC71" s="250" t="str">
        <f t="shared" ca="1" si="10"/>
        <v>Уже не актуально</v>
      </c>
      <c r="AD71" s="251">
        <f t="shared" ref="AD71:AD81" si="15">AB71-M71</f>
        <v>27</v>
      </c>
      <c r="AE71" s="234"/>
      <c r="AF71" s="255"/>
      <c r="AG71" s="237"/>
      <c r="AH71" s="236"/>
      <c r="AK71" s="255" t="s">
        <v>317</v>
      </c>
      <c r="AL71" s="216"/>
    </row>
    <row r="72" spans="1:38" ht="54.95" hidden="1" customHeight="1">
      <c r="A72" s="258" t="s">
        <v>300</v>
      </c>
      <c r="B72" s="258" t="s">
        <v>19</v>
      </c>
      <c r="C72" s="258" t="s">
        <v>140</v>
      </c>
      <c r="D72" s="268" t="s">
        <v>117</v>
      </c>
      <c r="E72" s="261" t="s">
        <v>218</v>
      </c>
      <c r="F72" s="262" t="s">
        <v>157</v>
      </c>
      <c r="G72" s="259" t="s">
        <v>483</v>
      </c>
      <c r="H72" s="275" t="s">
        <v>710</v>
      </c>
      <c r="I72" s="258"/>
      <c r="J72" s="258"/>
      <c r="K72" s="258"/>
      <c r="L72" s="386">
        <v>43642</v>
      </c>
      <c r="M72" s="372">
        <v>43692</v>
      </c>
      <c r="N72" s="376"/>
      <c r="O72" s="376">
        <f>45</f>
        <v>45</v>
      </c>
      <c r="P72" s="373"/>
      <c r="Q72" s="374" t="str">
        <f t="shared" ca="1" si="14"/>
        <v>Уже не актуально</v>
      </c>
      <c r="R72" s="375" t="s">
        <v>11</v>
      </c>
      <c r="S72" s="376"/>
      <c r="T72" s="376"/>
      <c r="U72" s="372">
        <f>M72</f>
        <v>43692</v>
      </c>
      <c r="V72" s="374" t="s">
        <v>196</v>
      </c>
      <c r="W72" s="372">
        <v>43735</v>
      </c>
      <c r="X72" s="372">
        <v>43746</v>
      </c>
      <c r="Y72" s="372">
        <v>43746</v>
      </c>
      <c r="Z72" s="376"/>
      <c r="AA72" s="376"/>
      <c r="AB72" s="385">
        <v>43747</v>
      </c>
      <c r="AC72" s="250" t="str">
        <f t="shared" ca="1" si="10"/>
        <v>Уже не актуально</v>
      </c>
      <c r="AD72" s="251">
        <f t="shared" si="15"/>
        <v>55</v>
      </c>
      <c r="AE72" s="234"/>
      <c r="AF72" s="255"/>
      <c r="AG72" s="237"/>
      <c r="AH72" s="236"/>
      <c r="AK72" s="255" t="s">
        <v>317</v>
      </c>
      <c r="AL72" s="216"/>
    </row>
    <row r="73" spans="1:38" ht="54.95" hidden="1" customHeight="1">
      <c r="A73" s="258" t="s">
        <v>300</v>
      </c>
      <c r="B73" s="258" t="s">
        <v>19</v>
      </c>
      <c r="C73" s="258" t="s">
        <v>140</v>
      </c>
      <c r="D73" s="268" t="s">
        <v>117</v>
      </c>
      <c r="E73" s="261" t="s">
        <v>218</v>
      </c>
      <c r="F73" s="262" t="s">
        <v>157</v>
      </c>
      <c r="G73" s="259" t="s">
        <v>483</v>
      </c>
      <c r="H73" s="275" t="s">
        <v>725</v>
      </c>
      <c r="I73" s="258"/>
      <c r="J73" s="258"/>
      <c r="K73" s="258"/>
      <c r="L73" s="386">
        <v>43656</v>
      </c>
      <c r="M73" s="372">
        <v>43709</v>
      </c>
      <c r="N73" s="376"/>
      <c r="O73" s="376">
        <f>45</f>
        <v>45</v>
      </c>
      <c r="P73" s="373"/>
      <c r="Q73" s="374" t="str">
        <f t="shared" ca="1" si="14"/>
        <v>Уже не актуально</v>
      </c>
      <c r="R73" s="375" t="s">
        <v>11</v>
      </c>
      <c r="S73" s="376"/>
      <c r="T73" s="376"/>
      <c r="U73" s="372">
        <v>43723</v>
      </c>
      <c r="V73" s="374" t="s">
        <v>196</v>
      </c>
      <c r="W73" s="372">
        <v>43728</v>
      </c>
      <c r="X73" s="372">
        <v>43730</v>
      </c>
      <c r="Y73" s="376">
        <v>43731</v>
      </c>
      <c r="Z73" s="376"/>
      <c r="AA73" s="376"/>
      <c r="AB73" s="385">
        <v>43733</v>
      </c>
      <c r="AC73" s="250" t="str">
        <f t="shared" ca="1" si="10"/>
        <v>Уже не актуально</v>
      </c>
      <c r="AD73" s="251">
        <f t="shared" si="15"/>
        <v>24</v>
      </c>
      <c r="AE73" s="234"/>
      <c r="AF73" s="255"/>
      <c r="AG73" s="237"/>
      <c r="AH73" s="236"/>
      <c r="AK73" s="255" t="s">
        <v>317</v>
      </c>
      <c r="AL73" s="218"/>
    </row>
    <row r="74" spans="1:38" ht="54.95" hidden="1" customHeight="1">
      <c r="A74" s="258" t="s">
        <v>300</v>
      </c>
      <c r="B74" s="258" t="s">
        <v>19</v>
      </c>
      <c r="C74" s="258" t="s">
        <v>140</v>
      </c>
      <c r="D74" s="268" t="s">
        <v>117</v>
      </c>
      <c r="E74" s="261" t="s">
        <v>218</v>
      </c>
      <c r="F74" s="262" t="s">
        <v>157</v>
      </c>
      <c r="G74" s="259" t="s">
        <v>483</v>
      </c>
      <c r="H74" s="275" t="s">
        <v>795</v>
      </c>
      <c r="I74" s="258"/>
      <c r="J74" s="258"/>
      <c r="K74" s="258"/>
      <c r="L74" s="386">
        <v>43656</v>
      </c>
      <c r="M74" s="372">
        <v>43702</v>
      </c>
      <c r="N74" s="376"/>
      <c r="O74" s="376">
        <f>45</f>
        <v>45</v>
      </c>
      <c r="P74" s="373"/>
      <c r="Q74" s="374" t="str">
        <f t="shared" ca="1" si="14"/>
        <v>Уже не актуально</v>
      </c>
      <c r="R74" s="375" t="s">
        <v>11</v>
      </c>
      <c r="S74" s="376"/>
      <c r="T74" s="376"/>
      <c r="U74" s="372">
        <v>43723</v>
      </c>
      <c r="V74" s="374" t="s">
        <v>196</v>
      </c>
      <c r="W74" s="372">
        <v>43745</v>
      </c>
      <c r="X74" s="372">
        <v>43746</v>
      </c>
      <c r="Y74" s="372">
        <v>43746</v>
      </c>
      <c r="Z74" s="376"/>
      <c r="AA74" s="376"/>
      <c r="AB74" s="385">
        <v>43747</v>
      </c>
      <c r="AC74" s="250" t="str">
        <f t="shared" ca="1" si="10"/>
        <v>Уже не актуально</v>
      </c>
      <c r="AD74" s="251">
        <f t="shared" si="15"/>
        <v>45</v>
      </c>
      <c r="AE74" s="234"/>
      <c r="AF74" s="255"/>
      <c r="AG74" s="237"/>
      <c r="AH74" s="236"/>
      <c r="AK74" s="255" t="s">
        <v>317</v>
      </c>
      <c r="AL74" s="218"/>
    </row>
    <row r="75" spans="1:38" ht="54.95" hidden="1" customHeight="1">
      <c r="A75" s="258" t="s">
        <v>300</v>
      </c>
      <c r="B75" s="258" t="s">
        <v>19</v>
      </c>
      <c r="C75" s="258" t="s">
        <v>140</v>
      </c>
      <c r="D75" s="268" t="s">
        <v>117</v>
      </c>
      <c r="E75" s="261" t="s">
        <v>218</v>
      </c>
      <c r="F75" s="262" t="s">
        <v>157</v>
      </c>
      <c r="G75" s="259" t="s">
        <v>483</v>
      </c>
      <c r="H75" s="275" t="s">
        <v>794</v>
      </c>
      <c r="I75" s="258"/>
      <c r="J75" s="258"/>
      <c r="K75" s="258"/>
      <c r="L75" s="386">
        <v>43656</v>
      </c>
      <c r="M75" s="372">
        <v>43702</v>
      </c>
      <c r="N75" s="376"/>
      <c r="O75" s="376">
        <f>45</f>
        <v>45</v>
      </c>
      <c r="P75" s="373"/>
      <c r="Q75" s="374" t="str">
        <f ca="1">IF(P75&gt;=TODAY()-5,IF(P75&lt;TODAY()+6,"Пора отправлять","Еще рано"),"Уже не актуально")</f>
        <v>Уже не актуально</v>
      </c>
      <c r="R75" s="375" t="s">
        <v>11</v>
      </c>
      <c r="S75" s="376"/>
      <c r="T75" s="376"/>
      <c r="U75" s="372">
        <v>43724</v>
      </c>
      <c r="V75" s="374" t="s">
        <v>196</v>
      </c>
      <c r="W75" s="372">
        <v>43745</v>
      </c>
      <c r="X75" s="372">
        <v>43767</v>
      </c>
      <c r="Y75" s="372">
        <v>43767</v>
      </c>
      <c r="Z75" s="376"/>
      <c r="AA75" s="376"/>
      <c r="AB75" s="385">
        <v>43768</v>
      </c>
      <c r="AC75" s="250" t="str">
        <f ca="1">IF(AB75&lt;TODAY()-5,IF(AB75="","Еще рано","Уже не актуально"),IF(AB75&gt;TODAY()-2,"Еще рано","Пора отправлять"))</f>
        <v>Уже не актуально</v>
      </c>
      <c r="AD75" s="251">
        <f>AB75-M75</f>
        <v>66</v>
      </c>
      <c r="AE75" s="234"/>
      <c r="AF75" s="255"/>
      <c r="AG75" s="237"/>
      <c r="AH75" s="236"/>
      <c r="AK75" s="255" t="s">
        <v>317</v>
      </c>
      <c r="AL75" s="228"/>
    </row>
    <row r="76" spans="1:38" ht="54.95" hidden="1" customHeight="1">
      <c r="A76" s="258" t="s">
        <v>300</v>
      </c>
      <c r="B76" s="258" t="s">
        <v>19</v>
      </c>
      <c r="C76" s="258" t="s">
        <v>140</v>
      </c>
      <c r="D76" s="268" t="s">
        <v>117</v>
      </c>
      <c r="E76" s="261" t="s">
        <v>218</v>
      </c>
      <c r="F76" s="262" t="s">
        <v>157</v>
      </c>
      <c r="G76" s="259" t="s">
        <v>483</v>
      </c>
      <c r="H76" s="275" t="s">
        <v>726</v>
      </c>
      <c r="I76" s="258"/>
      <c r="J76" s="258"/>
      <c r="K76" s="258"/>
      <c r="L76" s="386">
        <v>43656</v>
      </c>
      <c r="M76" s="372">
        <v>43702</v>
      </c>
      <c r="N76" s="376"/>
      <c r="O76" s="376">
        <f>45</f>
        <v>45</v>
      </c>
      <c r="P76" s="373"/>
      <c r="Q76" s="374" t="str">
        <f t="shared" ca="1" si="14"/>
        <v>Уже не актуально</v>
      </c>
      <c r="R76" s="375" t="s">
        <v>11</v>
      </c>
      <c r="S76" s="376"/>
      <c r="T76" s="376"/>
      <c r="U76" s="372">
        <v>43723</v>
      </c>
      <c r="V76" s="374" t="s">
        <v>196</v>
      </c>
      <c r="W76" s="372">
        <v>43728</v>
      </c>
      <c r="X76" s="372">
        <v>43730</v>
      </c>
      <c r="Y76" s="376">
        <v>43731</v>
      </c>
      <c r="Z76" s="376"/>
      <c r="AA76" s="376"/>
      <c r="AB76" s="385">
        <v>43733</v>
      </c>
      <c r="AC76" s="250" t="str">
        <f t="shared" ca="1" si="10"/>
        <v>Уже не актуально</v>
      </c>
      <c r="AD76" s="251">
        <f t="shared" si="15"/>
        <v>31</v>
      </c>
      <c r="AE76" s="234"/>
      <c r="AF76" s="255"/>
      <c r="AG76" s="237"/>
      <c r="AH76" s="236"/>
      <c r="AK76" s="255" t="s">
        <v>317</v>
      </c>
      <c r="AL76" s="221"/>
    </row>
    <row r="77" spans="1:38" ht="54.95" hidden="1" customHeight="1">
      <c r="A77" s="258" t="s">
        <v>300</v>
      </c>
      <c r="B77" s="258" t="s">
        <v>19</v>
      </c>
      <c r="C77" s="258" t="s">
        <v>140</v>
      </c>
      <c r="D77" s="268" t="s">
        <v>117</v>
      </c>
      <c r="E77" s="261" t="s">
        <v>218</v>
      </c>
      <c r="F77" s="262" t="s">
        <v>157</v>
      </c>
      <c r="G77" s="259" t="s">
        <v>483</v>
      </c>
      <c r="H77" s="275" t="s">
        <v>804</v>
      </c>
      <c r="I77" s="258"/>
      <c r="J77" s="258"/>
      <c r="K77" s="258"/>
      <c r="L77" s="386">
        <v>43656</v>
      </c>
      <c r="M77" s="372">
        <v>43702</v>
      </c>
      <c r="N77" s="376"/>
      <c r="O77" s="376">
        <f>45</f>
        <v>45</v>
      </c>
      <c r="P77" s="373"/>
      <c r="Q77" s="374" t="str">
        <f t="shared" ca="1" si="14"/>
        <v>Уже не актуально</v>
      </c>
      <c r="R77" s="375" t="s">
        <v>11</v>
      </c>
      <c r="S77" s="376"/>
      <c r="T77" s="376"/>
      <c r="U77" s="372">
        <v>43774</v>
      </c>
      <c r="V77" s="374" t="s">
        <v>196</v>
      </c>
      <c r="W77" s="372">
        <v>43784</v>
      </c>
      <c r="X77" s="372" t="s">
        <v>177</v>
      </c>
      <c r="Y77" s="372" t="s">
        <v>177</v>
      </c>
      <c r="Z77" s="376"/>
      <c r="AA77" s="376"/>
      <c r="AB77" s="385" t="s">
        <v>796</v>
      </c>
      <c r="AC77" s="250" t="str">
        <f t="shared" ca="1" si="10"/>
        <v>Еще рано</v>
      </c>
      <c r="AD77" s="251" t="e">
        <f t="shared" si="15"/>
        <v>#VALUE!</v>
      </c>
      <c r="AE77" s="234"/>
      <c r="AF77" s="255"/>
      <c r="AG77" s="237"/>
      <c r="AH77" s="236"/>
      <c r="AK77" s="255" t="s">
        <v>317</v>
      </c>
      <c r="AL77" s="228"/>
    </row>
    <row r="78" spans="1:38" ht="54.95" hidden="1" customHeight="1">
      <c r="A78" s="258" t="s">
        <v>300</v>
      </c>
      <c r="B78" s="258" t="s">
        <v>19</v>
      </c>
      <c r="C78" s="258" t="s">
        <v>140</v>
      </c>
      <c r="D78" s="268" t="s">
        <v>117</v>
      </c>
      <c r="E78" s="261" t="s">
        <v>218</v>
      </c>
      <c r="F78" s="262" t="s">
        <v>157</v>
      </c>
      <c r="G78" s="259" t="s">
        <v>483</v>
      </c>
      <c r="H78" s="275" t="s">
        <v>811</v>
      </c>
      <c r="I78" s="258"/>
      <c r="J78" s="258"/>
      <c r="K78" s="258"/>
      <c r="L78" s="386">
        <v>43670</v>
      </c>
      <c r="M78" s="372">
        <v>43697</v>
      </c>
      <c r="N78" s="376"/>
      <c r="O78" s="376">
        <f>45</f>
        <v>45</v>
      </c>
      <c r="P78" s="373"/>
      <c r="Q78" s="374" t="str">
        <f t="shared" ca="1" si="14"/>
        <v>Уже не актуально</v>
      </c>
      <c r="R78" s="375" t="s">
        <v>11</v>
      </c>
      <c r="S78" s="376"/>
      <c r="T78" s="376"/>
      <c r="U78" s="372">
        <v>43784</v>
      </c>
      <c r="V78" s="374" t="s">
        <v>196</v>
      </c>
      <c r="W78" s="372">
        <v>43773</v>
      </c>
      <c r="X78" s="372" t="s">
        <v>177</v>
      </c>
      <c r="Y78" s="372" t="s">
        <v>177</v>
      </c>
      <c r="Z78" s="376"/>
      <c r="AA78" s="376"/>
      <c r="AB78" s="385">
        <v>43775</v>
      </c>
      <c r="AC78" s="250" t="str">
        <f t="shared" ca="1" si="10"/>
        <v>Уже не актуально</v>
      </c>
      <c r="AD78" s="251">
        <f t="shared" si="15"/>
        <v>78</v>
      </c>
      <c r="AE78" s="234"/>
      <c r="AF78" s="255"/>
      <c r="AG78" s="237"/>
      <c r="AH78" s="236"/>
      <c r="AK78" s="255" t="s">
        <v>317</v>
      </c>
      <c r="AL78" s="221"/>
    </row>
    <row r="79" spans="1:38" ht="54.95" hidden="1" customHeight="1">
      <c r="A79" s="258" t="s">
        <v>300</v>
      </c>
      <c r="B79" s="258" t="s">
        <v>19</v>
      </c>
      <c r="C79" s="258" t="s">
        <v>140</v>
      </c>
      <c r="D79" s="268" t="s">
        <v>117</v>
      </c>
      <c r="E79" s="261" t="s">
        <v>218</v>
      </c>
      <c r="F79" s="262" t="s">
        <v>157</v>
      </c>
      <c r="G79" s="259" t="s">
        <v>483</v>
      </c>
      <c r="H79" s="275" t="s">
        <v>812</v>
      </c>
      <c r="I79" s="258"/>
      <c r="J79" s="258"/>
      <c r="K79" s="258"/>
      <c r="L79" s="386">
        <v>43670</v>
      </c>
      <c r="M79" s="372">
        <v>43697</v>
      </c>
      <c r="N79" s="376"/>
      <c r="O79" s="376">
        <f>45</f>
        <v>45</v>
      </c>
      <c r="P79" s="373"/>
      <c r="Q79" s="374" t="str">
        <f ca="1">IF(P79&gt;=TODAY()-5,IF(P79&lt;TODAY()+6,"Пора отправлять","Еще рано"),"Уже не актуально")</f>
        <v>Уже не актуально</v>
      </c>
      <c r="R79" s="375" t="s">
        <v>11</v>
      </c>
      <c r="S79" s="376"/>
      <c r="T79" s="376"/>
      <c r="U79" s="372">
        <v>43784</v>
      </c>
      <c r="V79" s="374" t="s">
        <v>196</v>
      </c>
      <c r="W79" s="372">
        <v>43781</v>
      </c>
      <c r="X79" s="372">
        <v>43781</v>
      </c>
      <c r="Y79" s="372">
        <v>43781</v>
      </c>
      <c r="Z79" s="376"/>
      <c r="AA79" s="376"/>
      <c r="AB79" s="385">
        <v>43785</v>
      </c>
      <c r="AC79" s="250" t="str">
        <f ca="1">IF(AB79&lt;TODAY()-5,IF(AB79="","Еще рано","Уже не актуально"),IF(AB79&gt;TODAY()-2,"Еще рано","Пора отправлять"))</f>
        <v>Уже не актуально</v>
      </c>
      <c r="AD79" s="251">
        <f>AB79-M79</f>
        <v>88</v>
      </c>
      <c r="AE79" s="234"/>
      <c r="AF79" s="255"/>
      <c r="AG79" s="237"/>
      <c r="AH79" s="236"/>
      <c r="AK79" s="255" t="s">
        <v>317</v>
      </c>
      <c r="AL79" s="228"/>
    </row>
    <row r="80" spans="1:38" ht="54.95" hidden="1" customHeight="1">
      <c r="A80" s="258" t="s">
        <v>300</v>
      </c>
      <c r="B80" s="258" t="s">
        <v>19</v>
      </c>
      <c r="C80" s="258" t="s">
        <v>140</v>
      </c>
      <c r="D80" s="268" t="s">
        <v>117</v>
      </c>
      <c r="E80" s="261" t="s">
        <v>218</v>
      </c>
      <c r="F80" s="262" t="s">
        <v>157</v>
      </c>
      <c r="G80" s="259" t="s">
        <v>483</v>
      </c>
      <c r="H80" s="275" t="s">
        <v>737</v>
      </c>
      <c r="I80" s="258"/>
      <c r="J80" s="258"/>
      <c r="K80" s="258"/>
      <c r="L80" s="386">
        <v>43714</v>
      </c>
      <c r="M80" s="372">
        <v>43728</v>
      </c>
      <c r="N80" s="376"/>
      <c r="O80" s="376">
        <f>45</f>
        <v>45</v>
      </c>
      <c r="P80" s="373"/>
      <c r="Q80" s="374" t="str">
        <f t="shared" ca="1" si="14"/>
        <v>Уже не актуально</v>
      </c>
      <c r="R80" s="375" t="s">
        <v>11</v>
      </c>
      <c r="S80" s="376"/>
      <c r="T80" s="376"/>
      <c r="U80" s="372">
        <v>43794</v>
      </c>
      <c r="V80" s="374" t="s">
        <v>196</v>
      </c>
      <c r="W80" s="372">
        <v>43794</v>
      </c>
      <c r="X80" s="372">
        <v>43796</v>
      </c>
      <c r="Y80" s="376">
        <v>43798</v>
      </c>
      <c r="Z80" s="376"/>
      <c r="AA80" s="376"/>
      <c r="AB80" s="385">
        <v>43804</v>
      </c>
      <c r="AC80" s="250" t="str">
        <f t="shared" ca="1" si="10"/>
        <v>Уже не актуально</v>
      </c>
      <c r="AD80" s="251">
        <f t="shared" si="15"/>
        <v>76</v>
      </c>
      <c r="AE80" s="277" t="s">
        <v>848</v>
      </c>
      <c r="AF80" s="255"/>
      <c r="AG80" s="237"/>
      <c r="AH80" s="236"/>
      <c r="AK80" s="255" t="s">
        <v>317</v>
      </c>
      <c r="AL80" s="221"/>
    </row>
    <row r="81" spans="1:38" ht="54.95" hidden="1" customHeight="1">
      <c r="A81" s="258" t="s">
        <v>300</v>
      </c>
      <c r="B81" s="258" t="s">
        <v>19</v>
      </c>
      <c r="C81" s="258" t="s">
        <v>140</v>
      </c>
      <c r="D81" s="268" t="s">
        <v>117</v>
      </c>
      <c r="E81" s="261" t="s">
        <v>218</v>
      </c>
      <c r="F81" s="262" t="s">
        <v>157</v>
      </c>
      <c r="G81" s="259" t="s">
        <v>483</v>
      </c>
      <c r="H81" s="275" t="s">
        <v>738</v>
      </c>
      <c r="I81" s="258"/>
      <c r="J81" s="258"/>
      <c r="K81" s="258"/>
      <c r="L81" s="386">
        <v>43714</v>
      </c>
      <c r="M81" s="372">
        <v>43739</v>
      </c>
      <c r="N81" s="376"/>
      <c r="O81" s="376">
        <f>45</f>
        <v>45</v>
      </c>
      <c r="P81" s="373"/>
      <c r="Q81" s="374" t="str">
        <f t="shared" ca="1" si="14"/>
        <v>Уже не актуально</v>
      </c>
      <c r="R81" s="375" t="s">
        <v>11</v>
      </c>
      <c r="S81" s="376"/>
      <c r="T81" s="376"/>
      <c r="U81" s="372">
        <v>43794</v>
      </c>
      <c r="V81" s="374" t="s">
        <v>196</v>
      </c>
      <c r="W81" s="372">
        <v>43781</v>
      </c>
      <c r="X81" s="372">
        <v>43781</v>
      </c>
      <c r="Y81" s="372">
        <v>43781</v>
      </c>
      <c r="Z81" s="376"/>
      <c r="AA81" s="376"/>
      <c r="AB81" s="385">
        <v>43785</v>
      </c>
      <c r="AC81" s="250" t="str">
        <f t="shared" ca="1" si="10"/>
        <v>Уже не актуально</v>
      </c>
      <c r="AD81" s="251">
        <f t="shared" si="15"/>
        <v>46</v>
      </c>
      <c r="AE81" s="234"/>
      <c r="AF81" s="255"/>
      <c r="AG81" s="237"/>
      <c r="AH81" s="236"/>
      <c r="AK81" s="255" t="s">
        <v>317</v>
      </c>
      <c r="AL81" s="224"/>
    </row>
    <row r="82" spans="1:38" ht="54.95" hidden="1" customHeight="1">
      <c r="A82" s="258" t="s">
        <v>300</v>
      </c>
      <c r="B82" s="258" t="s">
        <v>19</v>
      </c>
      <c r="C82" s="258" t="s">
        <v>140</v>
      </c>
      <c r="D82" s="268" t="s">
        <v>117</v>
      </c>
      <c r="E82" s="261" t="s">
        <v>218</v>
      </c>
      <c r="F82" s="262" t="s">
        <v>157</v>
      </c>
      <c r="G82" s="259" t="s">
        <v>483</v>
      </c>
      <c r="H82" s="275" t="s">
        <v>814</v>
      </c>
      <c r="I82" s="258"/>
      <c r="J82" s="258"/>
      <c r="K82" s="258"/>
      <c r="L82" s="386">
        <v>43714</v>
      </c>
      <c r="M82" s="372">
        <v>43764</v>
      </c>
      <c r="N82" s="376"/>
      <c r="O82" s="376">
        <f>45</f>
        <v>45</v>
      </c>
      <c r="P82" s="373"/>
      <c r="Q82" s="374" t="str">
        <f ca="1">IF(P82&gt;=TODAY()-5,IF(P82&lt;TODAY()+6,"Пора отправлять","Еще рано"),"Уже не актуально")</f>
        <v>Уже не актуально</v>
      </c>
      <c r="R82" s="375" t="s">
        <v>11</v>
      </c>
      <c r="S82" s="376"/>
      <c r="T82" s="376"/>
      <c r="U82" s="372">
        <v>43793</v>
      </c>
      <c r="V82" s="374" t="s">
        <v>196</v>
      </c>
      <c r="W82" s="372">
        <v>43812</v>
      </c>
      <c r="X82" s="372">
        <v>43812</v>
      </c>
      <c r="Y82" s="372">
        <v>43816</v>
      </c>
      <c r="Z82" s="376"/>
      <c r="AA82" s="376"/>
      <c r="AB82" s="385">
        <v>43817</v>
      </c>
      <c r="AC82" s="250" t="str">
        <f t="shared" ref="AC82:AC87" ca="1" si="16">IF(AB82&lt;TODAY()-5,IF(AB82="","Еще рано","Уже не актуально"),IF(AB82&gt;TODAY()-2,"Еще рано","Пора отправлять"))</f>
        <v>Уже не актуально</v>
      </c>
      <c r="AD82" s="251">
        <f>AB82-M82</f>
        <v>53</v>
      </c>
      <c r="AE82" s="234" t="s">
        <v>840</v>
      </c>
      <c r="AF82" s="255"/>
      <c r="AG82" s="237"/>
      <c r="AH82" s="236"/>
      <c r="AK82" s="255" t="s">
        <v>317</v>
      </c>
      <c r="AL82" s="228"/>
    </row>
    <row r="83" spans="1:38" ht="54.95" hidden="1" customHeight="1">
      <c r="A83" s="258" t="s">
        <v>300</v>
      </c>
      <c r="B83" s="258" t="s">
        <v>19</v>
      </c>
      <c r="C83" s="258" t="s">
        <v>140</v>
      </c>
      <c r="D83" s="268" t="s">
        <v>117</v>
      </c>
      <c r="E83" s="261" t="s">
        <v>218</v>
      </c>
      <c r="F83" s="262" t="s">
        <v>157</v>
      </c>
      <c r="G83" s="259" t="s">
        <v>483</v>
      </c>
      <c r="H83" s="275" t="s">
        <v>815</v>
      </c>
      <c r="I83" s="258"/>
      <c r="J83" s="258"/>
      <c r="K83" s="258"/>
      <c r="L83" s="386">
        <v>43738</v>
      </c>
      <c r="M83" s="372">
        <v>43784</v>
      </c>
      <c r="N83" s="376"/>
      <c r="O83" s="376">
        <f>45</f>
        <v>45</v>
      </c>
      <c r="P83" s="373"/>
      <c r="Q83" s="374" t="str">
        <f ca="1">IF(P83&gt;=TODAY()-5,IF(P83&lt;TODAY()+6,"Пора отправлять","Еще рано"),"Уже не актуально")</f>
        <v>Уже не актуально</v>
      </c>
      <c r="R83" s="375" t="s">
        <v>11</v>
      </c>
      <c r="S83" s="376"/>
      <c r="T83" s="376"/>
      <c r="U83" s="372">
        <v>43819</v>
      </c>
      <c r="V83" s="374" t="s">
        <v>196</v>
      </c>
      <c r="W83" s="372">
        <v>43818</v>
      </c>
      <c r="X83" s="372">
        <v>43821</v>
      </c>
      <c r="Y83" s="376">
        <v>43822</v>
      </c>
      <c r="Z83" s="376"/>
      <c r="AA83" s="376"/>
      <c r="AB83" s="385">
        <v>43823</v>
      </c>
      <c r="AC83" s="250" t="str">
        <f t="shared" ca="1" si="16"/>
        <v>Уже не актуально</v>
      </c>
      <c r="AD83" s="251">
        <f>AB83-M83</f>
        <v>39</v>
      </c>
      <c r="AE83" s="234" t="s">
        <v>845</v>
      </c>
      <c r="AF83" s="255"/>
      <c r="AG83" s="237"/>
      <c r="AH83" s="236"/>
      <c r="AK83" s="255" t="s">
        <v>317</v>
      </c>
      <c r="AL83" s="228"/>
    </row>
    <row r="84" spans="1:38" ht="54.95" customHeight="1">
      <c r="A84" s="258" t="s">
        <v>300</v>
      </c>
      <c r="B84" s="258" t="s">
        <v>19</v>
      </c>
      <c r="C84" s="258" t="s">
        <v>140</v>
      </c>
      <c r="D84" s="268" t="s">
        <v>117</v>
      </c>
      <c r="E84" s="261" t="s">
        <v>218</v>
      </c>
      <c r="F84" s="262" t="s">
        <v>157</v>
      </c>
      <c r="G84" s="259" t="s">
        <v>483</v>
      </c>
      <c r="H84" s="275" t="s">
        <v>808</v>
      </c>
      <c r="I84" s="258"/>
      <c r="J84" s="258"/>
      <c r="K84" s="258"/>
      <c r="L84" s="386">
        <v>43774</v>
      </c>
      <c r="M84" s="372">
        <v>43890</v>
      </c>
      <c r="N84" s="376"/>
      <c r="O84" s="376"/>
      <c r="P84" s="373"/>
      <c r="Q84" s="374"/>
      <c r="R84" s="375"/>
      <c r="S84" s="376"/>
      <c r="T84" s="376"/>
      <c r="U84" s="372">
        <f t="shared" ref="U84:U87" si="17">M84</f>
        <v>43890</v>
      </c>
      <c r="V84" s="374" t="s">
        <v>196</v>
      </c>
      <c r="W84" s="372"/>
      <c r="X84" s="372"/>
      <c r="Y84" s="376"/>
      <c r="Z84" s="376"/>
      <c r="AA84" s="376"/>
      <c r="AB84" s="385">
        <v>43901</v>
      </c>
      <c r="AC84" s="250" t="str">
        <f t="shared" ca="1" si="16"/>
        <v>Уже не актуально</v>
      </c>
      <c r="AD84" s="251"/>
      <c r="AE84" s="234"/>
      <c r="AF84" s="255"/>
      <c r="AG84" s="237"/>
      <c r="AH84" s="236"/>
      <c r="AK84" s="255" t="s">
        <v>317</v>
      </c>
      <c r="AL84" s="228"/>
    </row>
    <row r="85" spans="1:38" ht="54.95" customHeight="1">
      <c r="A85" s="258" t="s">
        <v>300</v>
      </c>
      <c r="B85" s="258" t="s">
        <v>19</v>
      </c>
      <c r="C85" s="258" t="s">
        <v>140</v>
      </c>
      <c r="D85" s="268" t="s">
        <v>117</v>
      </c>
      <c r="E85" s="261" t="s">
        <v>218</v>
      </c>
      <c r="F85" s="262" t="s">
        <v>157</v>
      </c>
      <c r="G85" s="259" t="s">
        <v>483</v>
      </c>
      <c r="H85" s="275" t="s">
        <v>809</v>
      </c>
      <c r="I85" s="258"/>
      <c r="J85" s="258"/>
      <c r="K85" s="258"/>
      <c r="L85" s="386">
        <v>43774</v>
      </c>
      <c r="M85" s="372">
        <v>43829</v>
      </c>
      <c r="N85" s="376"/>
      <c r="O85" s="376"/>
      <c r="P85" s="373"/>
      <c r="Q85" s="374"/>
      <c r="R85" s="375"/>
      <c r="S85" s="376"/>
      <c r="T85" s="376"/>
      <c r="U85" s="372">
        <f t="shared" si="17"/>
        <v>43829</v>
      </c>
      <c r="V85" s="374" t="s">
        <v>196</v>
      </c>
      <c r="W85" s="372"/>
      <c r="X85" s="372"/>
      <c r="Y85" s="376"/>
      <c r="Z85" s="376"/>
      <c r="AA85" s="376"/>
      <c r="AB85" s="385">
        <v>43915</v>
      </c>
      <c r="AC85" s="250" t="str">
        <f t="shared" ca="1" si="16"/>
        <v>Уже не актуально</v>
      </c>
      <c r="AD85" s="251"/>
      <c r="AE85" s="234"/>
      <c r="AF85" s="255"/>
      <c r="AG85" s="237"/>
      <c r="AH85" s="236"/>
      <c r="AK85" s="255" t="s">
        <v>317</v>
      </c>
      <c r="AL85" s="228"/>
    </row>
    <row r="86" spans="1:38" ht="54.95" customHeight="1">
      <c r="A86" s="258" t="s">
        <v>300</v>
      </c>
      <c r="B86" s="258" t="s">
        <v>19</v>
      </c>
      <c r="C86" s="258" t="s">
        <v>140</v>
      </c>
      <c r="D86" s="268" t="s">
        <v>117</v>
      </c>
      <c r="E86" s="261" t="s">
        <v>218</v>
      </c>
      <c r="F86" s="262" t="s">
        <v>157</v>
      </c>
      <c r="G86" s="259" t="s">
        <v>483</v>
      </c>
      <c r="H86" s="275" t="s">
        <v>810</v>
      </c>
      <c r="I86" s="258"/>
      <c r="J86" s="258"/>
      <c r="K86" s="258"/>
      <c r="L86" s="386">
        <v>43774</v>
      </c>
      <c r="M86" s="372">
        <v>43829</v>
      </c>
      <c r="N86" s="376"/>
      <c r="O86" s="376"/>
      <c r="P86" s="373"/>
      <c r="Q86" s="374"/>
      <c r="R86" s="375"/>
      <c r="S86" s="376"/>
      <c r="T86" s="376"/>
      <c r="U86" s="372">
        <f t="shared" si="17"/>
        <v>43829</v>
      </c>
      <c r="V86" s="374" t="s">
        <v>196</v>
      </c>
      <c r="W86" s="372"/>
      <c r="X86" s="372"/>
      <c r="Y86" s="376"/>
      <c r="Z86" s="376"/>
      <c r="AA86" s="376"/>
      <c r="AB86" s="385" t="s">
        <v>884</v>
      </c>
      <c r="AC86" s="250" t="str">
        <f ca="1">IF(AB86&lt;TODAY()-5,IF(AB86="","Еще рано","Уже не актуально"),IF(AB86&gt;TODAY()-2,"Еще рано","Пора отправлять"))</f>
        <v>Еще рано</v>
      </c>
      <c r="AD86" s="251"/>
      <c r="AE86" s="234"/>
      <c r="AF86" s="255"/>
      <c r="AG86" s="237"/>
      <c r="AH86" s="236"/>
      <c r="AK86" s="255" t="s">
        <v>317</v>
      </c>
      <c r="AL86" s="229"/>
    </row>
    <row r="87" spans="1:38" ht="54.95" customHeight="1">
      <c r="A87" s="258" t="s">
        <v>300</v>
      </c>
      <c r="B87" s="258" t="s">
        <v>19</v>
      </c>
      <c r="C87" s="258" t="s">
        <v>140</v>
      </c>
      <c r="D87" s="268" t="s">
        <v>117</v>
      </c>
      <c r="E87" s="261" t="s">
        <v>218</v>
      </c>
      <c r="F87" s="262" t="s">
        <v>157</v>
      </c>
      <c r="G87" s="259" t="s">
        <v>483</v>
      </c>
      <c r="H87" s="275" t="s">
        <v>820</v>
      </c>
      <c r="I87" s="258"/>
      <c r="J87" s="258"/>
      <c r="K87" s="258"/>
      <c r="L87" s="386">
        <v>43784</v>
      </c>
      <c r="M87" s="372">
        <v>43915</v>
      </c>
      <c r="N87" s="376"/>
      <c r="O87" s="376"/>
      <c r="P87" s="373"/>
      <c r="Q87" s="374"/>
      <c r="R87" s="375"/>
      <c r="S87" s="376"/>
      <c r="T87" s="376"/>
      <c r="U87" s="372">
        <f t="shared" si="17"/>
        <v>43915</v>
      </c>
      <c r="V87" s="374" t="s">
        <v>196</v>
      </c>
      <c r="W87" s="372"/>
      <c r="X87" s="372"/>
      <c r="Y87" s="376"/>
      <c r="Z87" s="376"/>
      <c r="AA87" s="376"/>
      <c r="AB87" s="385">
        <v>43915</v>
      </c>
      <c r="AC87" s="250" t="str">
        <f t="shared" ca="1" si="16"/>
        <v>Уже не актуально</v>
      </c>
      <c r="AD87" s="251"/>
      <c r="AE87" s="234"/>
      <c r="AF87" s="255"/>
      <c r="AG87" s="237"/>
      <c r="AH87" s="236"/>
      <c r="AK87" s="255" t="s">
        <v>317</v>
      </c>
      <c r="AL87" s="218"/>
    </row>
    <row r="88" spans="1:38" ht="54.95" customHeight="1">
      <c r="A88" s="258" t="s">
        <v>300</v>
      </c>
      <c r="B88" s="258" t="s">
        <v>19</v>
      </c>
      <c r="C88" s="258" t="s">
        <v>140</v>
      </c>
      <c r="D88" s="268" t="s">
        <v>117</v>
      </c>
      <c r="E88" s="261" t="s">
        <v>218</v>
      </c>
      <c r="F88" s="262" t="s">
        <v>157</v>
      </c>
      <c r="G88" s="259" t="s">
        <v>483</v>
      </c>
      <c r="H88" s="275" t="s">
        <v>834</v>
      </c>
      <c r="I88" s="259"/>
      <c r="J88" s="259"/>
      <c r="K88" s="259"/>
      <c r="L88" s="383">
        <v>43789</v>
      </c>
      <c r="M88" s="381">
        <v>43931</v>
      </c>
      <c r="N88" s="376"/>
      <c r="O88" s="379"/>
      <c r="P88" s="373"/>
      <c r="Q88" s="374"/>
      <c r="R88" s="375"/>
      <c r="S88" s="379"/>
      <c r="T88" s="379"/>
      <c r="U88" s="372">
        <v>43926</v>
      </c>
      <c r="V88" s="374" t="s">
        <v>196</v>
      </c>
      <c r="W88" s="372"/>
      <c r="X88" s="372" t="str">
        <f t="shared" ref="X88:X89" ca="1" si="18">IF(U88&lt;=TODAY()+10,"Пора","Рано")</f>
        <v>Пора</v>
      </c>
      <c r="Y88" s="376"/>
      <c r="Z88" s="376"/>
      <c r="AA88" s="376"/>
      <c r="AB88" s="385"/>
      <c r="AC88" s="250" t="str">
        <f ca="1">IF(AB88&lt;TODAY()-5,IF(AB88="","Еще рано","Уже не актуально"),IF(AB88&gt;TODAY()-2,"Еще рано","Пора отправлять"))</f>
        <v>Еще рано</v>
      </c>
      <c r="AD88" s="251"/>
      <c r="AE88" s="234"/>
      <c r="AF88" s="255"/>
      <c r="AG88" s="237"/>
      <c r="AH88" s="236"/>
      <c r="AK88" s="255" t="s">
        <v>317</v>
      </c>
      <c r="AL88" s="229"/>
    </row>
    <row r="89" spans="1:38" ht="54.95" customHeight="1">
      <c r="A89" s="258" t="s">
        <v>300</v>
      </c>
      <c r="B89" s="258" t="s">
        <v>19</v>
      </c>
      <c r="C89" s="258" t="s">
        <v>140</v>
      </c>
      <c r="D89" s="268" t="s">
        <v>117</v>
      </c>
      <c r="E89" s="261" t="s">
        <v>218</v>
      </c>
      <c r="F89" s="262" t="s">
        <v>157</v>
      </c>
      <c r="G89" s="259" t="s">
        <v>483</v>
      </c>
      <c r="H89" s="275" t="s">
        <v>835</v>
      </c>
      <c r="I89" s="259"/>
      <c r="J89" s="259"/>
      <c r="K89" s="259"/>
      <c r="L89" s="383">
        <v>43801</v>
      </c>
      <c r="M89" s="381">
        <v>43921</v>
      </c>
      <c r="N89" s="376"/>
      <c r="O89" s="379"/>
      <c r="P89" s="373"/>
      <c r="Q89" s="374"/>
      <c r="R89" s="375"/>
      <c r="S89" s="379"/>
      <c r="T89" s="379"/>
      <c r="U89" s="372">
        <v>43926</v>
      </c>
      <c r="V89" s="374" t="s">
        <v>196</v>
      </c>
      <c r="W89" s="372"/>
      <c r="X89" s="372" t="str">
        <f t="shared" ca="1" si="18"/>
        <v>Пора</v>
      </c>
      <c r="Y89" s="376"/>
      <c r="Z89" s="376"/>
      <c r="AA89" s="376"/>
      <c r="AB89" s="385"/>
      <c r="AC89" s="250" t="str">
        <f ca="1">IF(AB89&lt;TODAY()-5,IF(AB89="","Еще рано","Уже не актуально"),IF(AB89&gt;TODAY()-2,"Еще рано","Пора отправлять"))</f>
        <v>Еще рано</v>
      </c>
      <c r="AD89" s="251"/>
      <c r="AE89" s="234"/>
      <c r="AF89" s="255"/>
      <c r="AG89" s="237"/>
      <c r="AH89" s="236"/>
      <c r="AK89" s="255" t="s">
        <v>317</v>
      </c>
      <c r="AL89" s="229"/>
    </row>
    <row r="90" spans="1:38" ht="77.25" hidden="1" customHeight="1">
      <c r="A90" s="265" t="s">
        <v>300</v>
      </c>
      <c r="B90" s="279" t="s">
        <v>184</v>
      </c>
      <c r="C90" s="280" t="s">
        <v>185</v>
      </c>
      <c r="D90" s="281" t="s">
        <v>186</v>
      </c>
      <c r="E90" s="282" t="s">
        <v>191</v>
      </c>
      <c r="F90" s="283"/>
      <c r="G90" s="284" t="s">
        <v>4</v>
      </c>
      <c r="H90" s="285">
        <v>1</v>
      </c>
      <c r="I90" s="279"/>
      <c r="J90" s="279"/>
      <c r="K90" s="279"/>
      <c r="L90" s="387">
        <v>43074</v>
      </c>
      <c r="M90" s="381">
        <f>L90+40</f>
        <v>43114</v>
      </c>
      <c r="N90" s="372">
        <v>43089</v>
      </c>
      <c r="O90" s="387">
        <v>40</v>
      </c>
      <c r="P90" s="373">
        <f t="shared" ref="P90:P95" si="19">M90-O90</f>
        <v>43074</v>
      </c>
      <c r="Q90" s="374" t="s">
        <v>194</v>
      </c>
      <c r="R90" s="374" t="s">
        <v>205</v>
      </c>
      <c r="S90" s="379"/>
      <c r="T90" s="379"/>
      <c r="U90" s="372">
        <v>43130</v>
      </c>
      <c r="V90" s="374" t="s">
        <v>215</v>
      </c>
      <c r="W90" s="376">
        <v>43128</v>
      </c>
      <c r="X90" s="376">
        <v>43130</v>
      </c>
      <c r="Y90" s="376">
        <v>43130</v>
      </c>
      <c r="Z90" s="376">
        <v>43115</v>
      </c>
      <c r="AA90" s="376">
        <v>43118</v>
      </c>
      <c r="AB90" s="376">
        <v>43141</v>
      </c>
      <c r="AC90" s="250" t="str">
        <f t="shared" ca="1" si="10"/>
        <v>Уже не актуально</v>
      </c>
      <c r="AD90" s="251">
        <f t="shared" ref="AD90:AD115" si="20">AB90-M90</f>
        <v>27</v>
      </c>
      <c r="AE90" s="252" t="s">
        <v>232</v>
      </c>
      <c r="AF90" s="286" t="s">
        <v>237</v>
      </c>
      <c r="AG90" s="237"/>
      <c r="AH90" s="236"/>
      <c r="AK90" s="255" t="s">
        <v>317</v>
      </c>
      <c r="AL90" s="95"/>
    </row>
    <row r="91" spans="1:38" ht="77.25" hidden="1" customHeight="1">
      <c r="A91" s="265" t="s">
        <v>300</v>
      </c>
      <c r="B91" s="279" t="s">
        <v>184</v>
      </c>
      <c r="C91" s="280" t="s">
        <v>185</v>
      </c>
      <c r="D91" s="281" t="s">
        <v>186</v>
      </c>
      <c r="E91" s="282" t="s">
        <v>191</v>
      </c>
      <c r="F91" s="283"/>
      <c r="G91" s="284" t="s">
        <v>4</v>
      </c>
      <c r="H91" s="285">
        <v>2</v>
      </c>
      <c r="I91" s="279"/>
      <c r="J91" s="279"/>
      <c r="K91" s="279"/>
      <c r="L91" s="387">
        <v>43173</v>
      </c>
      <c r="M91" s="381">
        <v>43225</v>
      </c>
      <c r="N91" s="381">
        <v>43217</v>
      </c>
      <c r="O91" s="387">
        <v>40</v>
      </c>
      <c r="P91" s="373">
        <f t="shared" si="19"/>
        <v>43185</v>
      </c>
      <c r="Q91" s="374" t="s">
        <v>262</v>
      </c>
      <c r="R91" s="374" t="s">
        <v>205</v>
      </c>
      <c r="S91" s="379" t="s">
        <v>196</v>
      </c>
      <c r="T91" s="379"/>
      <c r="U91" s="372">
        <v>43234</v>
      </c>
      <c r="V91" s="374" t="s">
        <v>274</v>
      </c>
      <c r="W91" s="376">
        <v>43230</v>
      </c>
      <c r="X91" s="376">
        <v>43235</v>
      </c>
      <c r="Y91" s="376" t="s">
        <v>111</v>
      </c>
      <c r="Z91" s="376" t="s">
        <v>111</v>
      </c>
      <c r="AA91" s="376" t="s">
        <v>111</v>
      </c>
      <c r="AB91" s="376">
        <v>43278</v>
      </c>
      <c r="AC91" s="250" t="str">
        <f t="shared" ca="1" si="10"/>
        <v>Уже не актуально</v>
      </c>
      <c r="AD91" s="251">
        <f t="shared" si="20"/>
        <v>53</v>
      </c>
      <c r="AE91" s="252" t="s">
        <v>311</v>
      </c>
      <c r="AF91" s="286"/>
      <c r="AG91" s="237"/>
      <c r="AH91" s="236"/>
      <c r="AK91" s="255" t="s">
        <v>317</v>
      </c>
      <c r="AL91" s="110"/>
    </row>
    <row r="92" spans="1:38" ht="77.25" hidden="1" customHeight="1">
      <c r="A92" s="265" t="s">
        <v>300</v>
      </c>
      <c r="B92" s="279" t="s">
        <v>184</v>
      </c>
      <c r="C92" s="280" t="s">
        <v>185</v>
      </c>
      <c r="D92" s="281" t="s">
        <v>186</v>
      </c>
      <c r="E92" s="282" t="s">
        <v>191</v>
      </c>
      <c r="F92" s="283"/>
      <c r="G92" s="284" t="s">
        <v>4</v>
      </c>
      <c r="H92" s="285">
        <v>3</v>
      </c>
      <c r="I92" s="279"/>
      <c r="J92" s="279"/>
      <c r="K92" s="279">
        <v>40</v>
      </c>
      <c r="L92" s="387">
        <v>43250</v>
      </c>
      <c r="M92" s="381">
        <v>43291</v>
      </c>
      <c r="N92" s="381">
        <v>43252</v>
      </c>
      <c r="O92" s="387">
        <v>40</v>
      </c>
      <c r="P92" s="373">
        <f t="shared" si="19"/>
        <v>43251</v>
      </c>
      <c r="Q92" s="374" t="s">
        <v>203</v>
      </c>
      <c r="R92" s="374" t="s">
        <v>11</v>
      </c>
      <c r="S92" s="379" t="s">
        <v>196</v>
      </c>
      <c r="T92" s="379"/>
      <c r="U92" s="372">
        <f>M92</f>
        <v>43291</v>
      </c>
      <c r="V92" s="374" t="s">
        <v>307</v>
      </c>
      <c r="W92" s="376">
        <v>43289</v>
      </c>
      <c r="X92" s="376" t="s">
        <v>177</v>
      </c>
      <c r="Y92" s="376" t="s">
        <v>177</v>
      </c>
      <c r="Z92" s="376">
        <v>43287</v>
      </c>
      <c r="AA92" s="376">
        <v>43290</v>
      </c>
      <c r="AB92" s="385">
        <v>43328</v>
      </c>
      <c r="AC92" s="250" t="s">
        <v>360</v>
      </c>
      <c r="AD92" s="251">
        <f t="shared" si="20"/>
        <v>37</v>
      </c>
      <c r="AE92" s="252" t="s">
        <v>342</v>
      </c>
      <c r="AF92" s="287" t="s">
        <v>356</v>
      </c>
      <c r="AG92" s="237"/>
      <c r="AH92" s="236"/>
      <c r="AK92" s="255" t="s">
        <v>317</v>
      </c>
      <c r="AL92" s="140"/>
    </row>
    <row r="93" spans="1:38" ht="77.25" hidden="1" customHeight="1">
      <c r="A93" s="265" t="s">
        <v>300</v>
      </c>
      <c r="B93" s="279" t="s">
        <v>184</v>
      </c>
      <c r="C93" s="280" t="s">
        <v>185</v>
      </c>
      <c r="D93" s="281" t="s">
        <v>186</v>
      </c>
      <c r="E93" s="282" t="s">
        <v>759</v>
      </c>
      <c r="F93" s="283" t="s">
        <v>157</v>
      </c>
      <c r="G93" s="284" t="s">
        <v>433</v>
      </c>
      <c r="H93" s="279">
        <v>4</v>
      </c>
      <c r="I93" s="279"/>
      <c r="J93" s="279"/>
      <c r="K93" s="279">
        <v>7.35</v>
      </c>
      <c r="L93" s="387">
        <v>43705</v>
      </c>
      <c r="M93" s="381">
        <v>43736</v>
      </c>
      <c r="N93" s="381" t="s">
        <v>748</v>
      </c>
      <c r="O93" s="387">
        <v>40</v>
      </c>
      <c r="P93" s="373">
        <f t="shared" si="19"/>
        <v>43696</v>
      </c>
      <c r="Q93" s="374" t="s">
        <v>203</v>
      </c>
      <c r="R93" s="374" t="s">
        <v>11</v>
      </c>
      <c r="S93" s="379"/>
      <c r="T93" s="379"/>
      <c r="U93" s="372">
        <v>43745</v>
      </c>
      <c r="V93" s="374" t="s">
        <v>778</v>
      </c>
      <c r="W93" s="376">
        <v>43732</v>
      </c>
      <c r="X93" s="372">
        <v>43738</v>
      </c>
      <c r="Y93" s="372">
        <v>43738</v>
      </c>
      <c r="Z93" s="376"/>
      <c r="AA93" s="376"/>
      <c r="AB93" s="385">
        <v>43768</v>
      </c>
      <c r="AC93" s="250" t="s">
        <v>813</v>
      </c>
      <c r="AD93" s="251">
        <f t="shared" si="20"/>
        <v>32</v>
      </c>
      <c r="AE93" s="252"/>
      <c r="AF93" s="287"/>
      <c r="AG93" s="237"/>
      <c r="AH93" s="236"/>
      <c r="AK93" s="255" t="s">
        <v>317</v>
      </c>
      <c r="AL93" s="223"/>
    </row>
    <row r="94" spans="1:38" ht="50.45" hidden="1" customHeight="1">
      <c r="A94" s="288" t="s">
        <v>15</v>
      </c>
      <c r="B94" s="288" t="s">
        <v>21</v>
      </c>
      <c r="C94" s="288" t="s">
        <v>145</v>
      </c>
      <c r="D94" s="288" t="s">
        <v>123</v>
      </c>
      <c r="E94" s="289" t="s">
        <v>130</v>
      </c>
      <c r="F94" s="289"/>
      <c r="G94" s="288" t="s">
        <v>36</v>
      </c>
      <c r="H94" s="288" t="s">
        <v>34</v>
      </c>
      <c r="I94" s="290" t="s">
        <v>11</v>
      </c>
      <c r="J94" s="290" t="s">
        <v>11</v>
      </c>
      <c r="K94" s="290"/>
      <c r="L94" s="388" t="s">
        <v>39</v>
      </c>
      <c r="M94" s="372" t="s">
        <v>38</v>
      </c>
      <c r="N94" s="376" t="s">
        <v>33</v>
      </c>
      <c r="O94" s="388">
        <v>60</v>
      </c>
      <c r="P94" s="373">
        <f t="shared" si="19"/>
        <v>42938</v>
      </c>
      <c r="Q94" s="374" t="str">
        <f ca="1">IF(P94&gt;=TODAY()-5,IF(P94&lt;TODAY()+6,"Пора отправлять","Еще рано"),"Уже не актуально")</f>
        <v>Уже не актуально</v>
      </c>
      <c r="R94" s="375">
        <v>42979</v>
      </c>
      <c r="S94" s="376" t="s">
        <v>196</v>
      </c>
      <c r="T94" s="376"/>
      <c r="U94" s="372">
        <v>43026</v>
      </c>
      <c r="V94" s="374" t="str">
        <f ca="1">IF(U94&gt;TODAY(),IF(U94&lt;TODAY()+17,"Пора отправлять","Еще рано"),"Уже не актуально")</f>
        <v>Уже не актуально</v>
      </c>
      <c r="W94" s="376">
        <v>43027</v>
      </c>
      <c r="X94" s="376" t="s">
        <v>177</v>
      </c>
      <c r="Y94" s="376" t="s">
        <v>177</v>
      </c>
      <c r="Z94" s="376" t="s">
        <v>76</v>
      </c>
      <c r="AA94" s="376">
        <v>43061</v>
      </c>
      <c r="AB94" s="385">
        <v>43041</v>
      </c>
      <c r="AC94" s="250" t="str">
        <f ca="1">IF(AB94&lt;TODAY()-5,IF(AB94="","Еще рано","Уже не актуально"),IF(AB94&gt;TODAY()-2,"Еще рано","Пора отправлять"))</f>
        <v>Уже не актуально</v>
      </c>
      <c r="AD94" s="251">
        <f t="shared" si="20"/>
        <v>43</v>
      </c>
      <c r="AE94" s="291" t="s">
        <v>49</v>
      </c>
      <c r="AF94" s="234" t="s">
        <v>86</v>
      </c>
      <c r="AG94" s="237"/>
      <c r="AH94" s="236"/>
      <c r="AK94" s="255" t="s">
        <v>315</v>
      </c>
      <c r="AL94" s="40"/>
    </row>
    <row r="95" spans="1:38" ht="54.95" hidden="1" customHeight="1">
      <c r="A95" s="288" t="s">
        <v>15</v>
      </c>
      <c r="B95" s="288" t="s">
        <v>21</v>
      </c>
      <c r="C95" s="288" t="s">
        <v>145</v>
      </c>
      <c r="D95" s="288" t="s">
        <v>123</v>
      </c>
      <c r="E95" s="289" t="s">
        <v>130</v>
      </c>
      <c r="F95" s="289"/>
      <c r="G95" s="288" t="s">
        <v>36</v>
      </c>
      <c r="H95" s="288" t="s">
        <v>35</v>
      </c>
      <c r="I95" s="290" t="s">
        <v>11</v>
      </c>
      <c r="J95" s="290" t="s">
        <v>11</v>
      </c>
      <c r="K95" s="290">
        <v>80</v>
      </c>
      <c r="L95" s="388" t="s">
        <v>41</v>
      </c>
      <c r="M95" s="372" t="s">
        <v>37</v>
      </c>
      <c r="N95" s="376" t="s">
        <v>50</v>
      </c>
      <c r="O95" s="388">
        <v>60</v>
      </c>
      <c r="P95" s="373">
        <f t="shared" si="19"/>
        <v>42958</v>
      </c>
      <c r="Q95" s="374" t="str">
        <f ca="1">IF(P95&gt;=TODAY()-5,IF(P95&lt;TODAY()+6,"Пора отправлять","Еще рано"),"Уже не актуально")</f>
        <v>Уже не актуально</v>
      </c>
      <c r="R95" s="375">
        <v>42979</v>
      </c>
      <c r="S95" s="376" t="s">
        <v>196</v>
      </c>
      <c r="T95" s="376"/>
      <c r="U95" s="372">
        <v>43051</v>
      </c>
      <c r="V95" s="374" t="str">
        <f ca="1">IF(U95&gt;TODAY(),IF(U95&lt;TODAY()+17,"Пора отправлять","Еще рано"),"Уже не актуально")</f>
        <v>Уже не актуально</v>
      </c>
      <c r="W95" s="372">
        <v>43051</v>
      </c>
      <c r="X95" s="376" t="s">
        <v>177</v>
      </c>
      <c r="Y95" s="376" t="s">
        <v>177</v>
      </c>
      <c r="Z95" s="376">
        <v>43053</v>
      </c>
      <c r="AA95" s="376">
        <v>43055</v>
      </c>
      <c r="AB95" s="385">
        <v>43064</v>
      </c>
      <c r="AC95" s="250" t="s">
        <v>163</v>
      </c>
      <c r="AD95" s="251">
        <f t="shared" si="20"/>
        <v>46</v>
      </c>
      <c r="AE95" s="234" t="s">
        <v>48</v>
      </c>
      <c r="AF95" s="234" t="s">
        <v>874</v>
      </c>
      <c r="AG95" s="237"/>
      <c r="AH95" s="236"/>
      <c r="AJ95" s="234" t="s">
        <v>166</v>
      </c>
      <c r="AK95" s="255" t="s">
        <v>315</v>
      </c>
      <c r="AL95" s="40"/>
    </row>
    <row r="96" spans="1:38" ht="54.95" hidden="1" customHeight="1">
      <c r="A96" s="288" t="s">
        <v>15</v>
      </c>
      <c r="B96" s="288" t="s">
        <v>21</v>
      </c>
      <c r="C96" s="288" t="s">
        <v>145</v>
      </c>
      <c r="D96" s="288" t="s">
        <v>123</v>
      </c>
      <c r="E96" s="289" t="s">
        <v>130</v>
      </c>
      <c r="F96" s="289"/>
      <c r="G96" s="288" t="s">
        <v>4</v>
      </c>
      <c r="H96" s="288" t="s">
        <v>89</v>
      </c>
      <c r="I96" s="290"/>
      <c r="J96" s="290"/>
      <c r="K96" s="290"/>
      <c r="L96" s="388" t="s">
        <v>92</v>
      </c>
      <c r="M96" s="372">
        <f>L96+90</f>
        <v>43112</v>
      </c>
      <c r="N96" s="376" t="s">
        <v>95</v>
      </c>
      <c r="O96" s="388">
        <v>60</v>
      </c>
      <c r="P96" s="373">
        <f t="shared" ref="P96:P115" si="21">M96-O96</f>
        <v>43052</v>
      </c>
      <c r="Q96" s="374" t="s">
        <v>163</v>
      </c>
      <c r="R96" s="375" t="s">
        <v>11</v>
      </c>
      <c r="S96" s="376" t="s">
        <v>196</v>
      </c>
      <c r="T96" s="376"/>
      <c r="U96" s="376">
        <v>43077</v>
      </c>
      <c r="V96" s="374" t="s">
        <v>170</v>
      </c>
      <c r="W96" s="376">
        <v>43077</v>
      </c>
      <c r="X96" s="376" t="s">
        <v>177</v>
      </c>
      <c r="Y96" s="376" t="s">
        <v>177</v>
      </c>
      <c r="Z96" s="376">
        <v>43068</v>
      </c>
      <c r="AA96" s="376">
        <v>43070</v>
      </c>
      <c r="AB96" s="385">
        <v>43078</v>
      </c>
      <c r="AC96" s="250" t="s">
        <v>194</v>
      </c>
      <c r="AD96" s="251">
        <f t="shared" si="20"/>
        <v>-34</v>
      </c>
      <c r="AE96" s="234"/>
      <c r="AF96" s="234"/>
      <c r="AG96" s="237"/>
      <c r="AH96" s="236"/>
      <c r="AK96" s="255" t="s">
        <v>315</v>
      </c>
      <c r="AL96" s="40"/>
    </row>
    <row r="97" spans="1:38" ht="54.95" hidden="1" customHeight="1">
      <c r="A97" s="288" t="s">
        <v>15</v>
      </c>
      <c r="B97" s="288" t="s">
        <v>21</v>
      </c>
      <c r="C97" s="288" t="s">
        <v>145</v>
      </c>
      <c r="D97" s="288" t="s">
        <v>123</v>
      </c>
      <c r="E97" s="289" t="s">
        <v>130</v>
      </c>
      <c r="F97" s="289"/>
      <c r="G97" s="288" t="s">
        <v>4</v>
      </c>
      <c r="H97" s="288" t="s">
        <v>90</v>
      </c>
      <c r="I97" s="290"/>
      <c r="J97" s="290"/>
      <c r="K97" s="290"/>
      <c r="L97" s="388">
        <v>43020</v>
      </c>
      <c r="M97" s="372">
        <f>L97+90</f>
        <v>43110</v>
      </c>
      <c r="N97" s="372" t="s">
        <v>179</v>
      </c>
      <c r="O97" s="388">
        <v>60</v>
      </c>
      <c r="P97" s="373">
        <f t="shared" si="21"/>
        <v>43050</v>
      </c>
      <c r="Q97" s="374" t="str">
        <f t="shared" ref="Q97:Q104" ca="1" si="22">IF(P97&gt;=TODAY()-5,IF(P97&lt;TODAY()+6,"Пора отправлять","Еще рано"),"Уже не актуально")</f>
        <v>Уже не актуально</v>
      </c>
      <c r="R97" s="375" t="s">
        <v>11</v>
      </c>
      <c r="S97" s="376"/>
      <c r="T97" s="376"/>
      <c r="U97" s="376">
        <v>43078</v>
      </c>
      <c r="V97" s="374" t="s">
        <v>170</v>
      </c>
      <c r="W97" s="376">
        <v>43077</v>
      </c>
      <c r="X97" s="376" t="s">
        <v>177</v>
      </c>
      <c r="Y97" s="376" t="s">
        <v>177</v>
      </c>
      <c r="Z97" s="376">
        <v>43068</v>
      </c>
      <c r="AA97" s="376">
        <v>43070</v>
      </c>
      <c r="AB97" s="385">
        <v>43078</v>
      </c>
      <c r="AC97" s="250" t="s">
        <v>194</v>
      </c>
      <c r="AD97" s="251">
        <f t="shared" si="20"/>
        <v>-32</v>
      </c>
      <c r="AE97" s="234"/>
      <c r="AF97" s="234"/>
      <c r="AG97" s="237"/>
      <c r="AH97" s="236"/>
      <c r="AK97" s="255" t="s">
        <v>315</v>
      </c>
      <c r="AL97" s="77"/>
    </row>
    <row r="98" spans="1:38" ht="54.95" hidden="1" customHeight="1">
      <c r="A98" s="288" t="s">
        <v>15</v>
      </c>
      <c r="B98" s="288" t="s">
        <v>21</v>
      </c>
      <c r="C98" s="288" t="s">
        <v>145</v>
      </c>
      <c r="D98" s="288" t="s">
        <v>123</v>
      </c>
      <c r="E98" s="289" t="s">
        <v>130</v>
      </c>
      <c r="F98" s="289"/>
      <c r="G98" s="288" t="s">
        <v>4</v>
      </c>
      <c r="H98" s="288" t="s">
        <v>173</v>
      </c>
      <c r="I98" s="290"/>
      <c r="J98" s="290"/>
      <c r="K98" s="290"/>
      <c r="L98" s="388">
        <v>43067</v>
      </c>
      <c r="M98" s="372">
        <v>43115</v>
      </c>
      <c r="N98" s="372">
        <v>43077</v>
      </c>
      <c r="O98" s="388">
        <v>60</v>
      </c>
      <c r="P98" s="373">
        <f t="shared" si="21"/>
        <v>43055</v>
      </c>
      <c r="Q98" s="374" t="str">
        <f t="shared" ca="1" si="22"/>
        <v>Уже не актуально</v>
      </c>
      <c r="R98" s="375" t="s">
        <v>11</v>
      </c>
      <c r="S98" s="376"/>
      <c r="T98" s="376"/>
      <c r="U98" s="376">
        <v>43123</v>
      </c>
      <c r="V98" s="374" t="s">
        <v>209</v>
      </c>
      <c r="W98" s="376">
        <v>43132</v>
      </c>
      <c r="X98" s="376" t="s">
        <v>176</v>
      </c>
      <c r="Y98" s="376" t="s">
        <v>176</v>
      </c>
      <c r="Z98" s="376">
        <v>43104</v>
      </c>
      <c r="AA98" s="376">
        <v>43119</v>
      </c>
      <c r="AB98" s="385">
        <v>43132</v>
      </c>
      <c r="AC98" s="250" t="s">
        <v>230</v>
      </c>
      <c r="AD98" s="251">
        <f t="shared" si="20"/>
        <v>17</v>
      </c>
      <c r="AE98" s="252" t="s">
        <v>229</v>
      </c>
      <c r="AF98" s="234"/>
      <c r="AG98" s="237"/>
      <c r="AH98" s="236"/>
      <c r="AK98" s="255" t="s">
        <v>315</v>
      </c>
      <c r="AL98" s="77"/>
    </row>
    <row r="99" spans="1:38" ht="54.95" hidden="1" customHeight="1">
      <c r="A99" s="288" t="s">
        <v>15</v>
      </c>
      <c r="B99" s="288" t="s">
        <v>21</v>
      </c>
      <c r="C99" s="288" t="s">
        <v>145</v>
      </c>
      <c r="D99" s="288" t="s">
        <v>123</v>
      </c>
      <c r="E99" s="289" t="s">
        <v>130</v>
      </c>
      <c r="F99" s="289"/>
      <c r="G99" s="288" t="s">
        <v>4</v>
      </c>
      <c r="H99" s="288" t="s">
        <v>174</v>
      </c>
      <c r="I99" s="290"/>
      <c r="J99" s="290"/>
      <c r="K99" s="290"/>
      <c r="L99" s="388">
        <v>43067</v>
      </c>
      <c r="M99" s="372">
        <v>43115</v>
      </c>
      <c r="N99" s="372">
        <v>43091</v>
      </c>
      <c r="O99" s="388">
        <v>60</v>
      </c>
      <c r="P99" s="373">
        <f t="shared" si="21"/>
        <v>43055</v>
      </c>
      <c r="Q99" s="374" t="str">
        <f t="shared" ca="1" si="22"/>
        <v>Уже не актуально</v>
      </c>
      <c r="R99" s="375" t="s">
        <v>11</v>
      </c>
      <c r="S99" s="376"/>
      <c r="T99" s="376"/>
      <c r="U99" s="376">
        <v>43132</v>
      </c>
      <c r="V99" s="374" t="s">
        <v>209</v>
      </c>
      <c r="W99" s="376">
        <v>43132</v>
      </c>
      <c r="X99" s="376" t="s">
        <v>176</v>
      </c>
      <c r="Y99" s="376" t="s">
        <v>176</v>
      </c>
      <c r="Z99" s="376">
        <v>43119</v>
      </c>
      <c r="AA99" s="376">
        <v>43119</v>
      </c>
      <c r="AB99" s="385">
        <v>43132</v>
      </c>
      <c r="AC99" s="250" t="s">
        <v>230</v>
      </c>
      <c r="AD99" s="251">
        <f t="shared" si="20"/>
        <v>17</v>
      </c>
      <c r="AE99" s="252" t="s">
        <v>229</v>
      </c>
      <c r="AF99" s="234"/>
      <c r="AG99" s="237"/>
      <c r="AH99" s="236"/>
      <c r="AK99" s="255" t="s">
        <v>315</v>
      </c>
      <c r="AL99" s="77"/>
    </row>
    <row r="100" spans="1:38" ht="54.95" hidden="1" customHeight="1">
      <c r="A100" s="288" t="s">
        <v>15</v>
      </c>
      <c r="B100" s="288" t="s">
        <v>21</v>
      </c>
      <c r="C100" s="288" t="s">
        <v>145</v>
      </c>
      <c r="D100" s="288" t="s">
        <v>123</v>
      </c>
      <c r="E100" s="289" t="s">
        <v>130</v>
      </c>
      <c r="F100" s="289"/>
      <c r="G100" s="288" t="s">
        <v>4</v>
      </c>
      <c r="H100" s="288" t="s">
        <v>175</v>
      </c>
      <c r="I100" s="290"/>
      <c r="J100" s="290"/>
      <c r="K100" s="290"/>
      <c r="L100" s="388">
        <v>43068</v>
      </c>
      <c r="M100" s="372">
        <v>43089</v>
      </c>
      <c r="N100" s="372">
        <v>43097</v>
      </c>
      <c r="O100" s="388">
        <v>60</v>
      </c>
      <c r="P100" s="373">
        <f t="shared" si="21"/>
        <v>43029</v>
      </c>
      <c r="Q100" s="374" t="str">
        <f t="shared" ca="1" si="22"/>
        <v>Уже не актуально</v>
      </c>
      <c r="R100" s="375" t="s">
        <v>11</v>
      </c>
      <c r="S100" s="376"/>
      <c r="T100" s="376"/>
      <c r="U100" s="376">
        <v>43080</v>
      </c>
      <c r="V100" s="374" t="s">
        <v>163</v>
      </c>
      <c r="W100" s="376">
        <v>43080</v>
      </c>
      <c r="X100" s="376" t="s">
        <v>176</v>
      </c>
      <c r="Y100" s="376" t="s">
        <v>176</v>
      </c>
      <c r="Z100" s="376">
        <v>43064</v>
      </c>
      <c r="AA100" s="376">
        <v>43082</v>
      </c>
      <c r="AB100" s="385">
        <v>43087</v>
      </c>
      <c r="AC100" s="250" t="str">
        <f ca="1">IF(AB100&lt;TODAY()-5,IF(AB100="","Еще рано","Уже не актуально"),IF(AB100&gt;TODAY()-2,"Еще рано","Пора отправлять"))</f>
        <v>Уже не актуально</v>
      </c>
      <c r="AD100" s="251">
        <f t="shared" si="20"/>
        <v>-2</v>
      </c>
      <c r="AE100" s="234" t="s">
        <v>231</v>
      </c>
      <c r="AF100" s="234"/>
      <c r="AG100" s="237"/>
      <c r="AH100" s="236"/>
      <c r="AK100" s="255" t="s">
        <v>315</v>
      </c>
      <c r="AL100" s="40"/>
    </row>
    <row r="101" spans="1:38" ht="54.95" hidden="1" customHeight="1">
      <c r="A101" s="288" t="s">
        <v>15</v>
      </c>
      <c r="B101" s="288" t="s">
        <v>21</v>
      </c>
      <c r="C101" s="288" t="s">
        <v>145</v>
      </c>
      <c r="D101" s="288" t="s">
        <v>123</v>
      </c>
      <c r="E101" s="289" t="s">
        <v>130</v>
      </c>
      <c r="F101" s="289"/>
      <c r="G101" s="288" t="s">
        <v>4</v>
      </c>
      <c r="H101" s="288" t="s">
        <v>178</v>
      </c>
      <c r="I101" s="290"/>
      <c r="J101" s="290"/>
      <c r="K101" s="290"/>
      <c r="L101" s="388">
        <v>43075</v>
      </c>
      <c r="M101" s="372">
        <v>43137</v>
      </c>
      <c r="N101" s="372">
        <v>43090</v>
      </c>
      <c r="O101" s="388">
        <v>60</v>
      </c>
      <c r="P101" s="373">
        <f t="shared" si="21"/>
        <v>43077</v>
      </c>
      <c r="Q101" s="374" t="str">
        <f t="shared" ca="1" si="22"/>
        <v>Уже не актуально</v>
      </c>
      <c r="R101" s="375" t="s">
        <v>11</v>
      </c>
      <c r="S101" s="376"/>
      <c r="T101" s="376"/>
      <c r="U101" s="376">
        <v>43184</v>
      </c>
      <c r="V101" s="374" t="s">
        <v>246</v>
      </c>
      <c r="W101" s="376">
        <v>43184</v>
      </c>
      <c r="X101" s="376" t="s">
        <v>176</v>
      </c>
      <c r="Y101" s="376" t="s">
        <v>176</v>
      </c>
      <c r="Z101" s="376">
        <v>43171</v>
      </c>
      <c r="AA101" s="376">
        <v>43171</v>
      </c>
      <c r="AB101" s="376">
        <v>43189</v>
      </c>
      <c r="AC101" s="250" t="s">
        <v>262</v>
      </c>
      <c r="AD101" s="251">
        <f t="shared" si="20"/>
        <v>52</v>
      </c>
      <c r="AE101" s="234" t="s">
        <v>261</v>
      </c>
      <c r="AF101" s="234"/>
      <c r="AG101" s="237"/>
      <c r="AH101" s="236"/>
      <c r="AK101" s="255" t="s">
        <v>315</v>
      </c>
      <c r="AL101" s="78"/>
    </row>
    <row r="102" spans="1:38" ht="54.95" hidden="1" customHeight="1">
      <c r="A102" s="288" t="s">
        <v>15</v>
      </c>
      <c r="B102" s="288" t="s">
        <v>21</v>
      </c>
      <c r="C102" s="288" t="s">
        <v>145</v>
      </c>
      <c r="D102" s="288" t="s">
        <v>123</v>
      </c>
      <c r="E102" s="289" t="s">
        <v>130</v>
      </c>
      <c r="F102" s="289"/>
      <c r="G102" s="288" t="s">
        <v>4</v>
      </c>
      <c r="H102" s="288" t="s">
        <v>182</v>
      </c>
      <c r="I102" s="290"/>
      <c r="J102" s="290"/>
      <c r="K102" s="290"/>
      <c r="L102" s="388">
        <v>43090</v>
      </c>
      <c r="M102" s="372">
        <v>43189</v>
      </c>
      <c r="N102" s="372" t="s">
        <v>111</v>
      </c>
      <c r="O102" s="388">
        <v>60</v>
      </c>
      <c r="P102" s="373">
        <f t="shared" si="21"/>
        <v>43129</v>
      </c>
      <c r="Q102" s="374" t="str">
        <f t="shared" ca="1" si="22"/>
        <v>Уже не актуально</v>
      </c>
      <c r="R102" s="375" t="s">
        <v>11</v>
      </c>
      <c r="S102" s="376"/>
      <c r="T102" s="376"/>
      <c r="U102" s="376">
        <f>M102</f>
        <v>43189</v>
      </c>
      <c r="V102" s="374" t="s">
        <v>247</v>
      </c>
      <c r="W102" s="376">
        <v>43189</v>
      </c>
      <c r="X102" s="376" t="s">
        <v>176</v>
      </c>
      <c r="Y102" s="376" t="s">
        <v>176</v>
      </c>
      <c r="Z102" s="376">
        <v>43171</v>
      </c>
      <c r="AA102" s="376">
        <v>43171</v>
      </c>
      <c r="AB102" s="376">
        <v>43189</v>
      </c>
      <c r="AC102" s="250" t="s">
        <v>262</v>
      </c>
      <c r="AD102" s="251">
        <f t="shared" si="20"/>
        <v>0</v>
      </c>
      <c r="AE102" s="234"/>
      <c r="AF102" s="234"/>
      <c r="AG102" s="237"/>
      <c r="AH102" s="236"/>
      <c r="AK102" s="255" t="s">
        <v>315</v>
      </c>
      <c r="AL102" s="88"/>
    </row>
    <row r="103" spans="1:38" ht="54.95" hidden="1" customHeight="1">
      <c r="A103" s="288" t="s">
        <v>15</v>
      </c>
      <c r="B103" s="288" t="s">
        <v>21</v>
      </c>
      <c r="C103" s="288" t="s">
        <v>145</v>
      </c>
      <c r="D103" s="288" t="s">
        <v>123</v>
      </c>
      <c r="E103" s="289" t="s">
        <v>130</v>
      </c>
      <c r="F103" s="289"/>
      <c r="G103" s="288" t="s">
        <v>4</v>
      </c>
      <c r="H103" s="288" t="s">
        <v>277</v>
      </c>
      <c r="I103" s="290"/>
      <c r="J103" s="290"/>
      <c r="K103" s="290"/>
      <c r="L103" s="388">
        <v>43219</v>
      </c>
      <c r="M103" s="372">
        <v>43296</v>
      </c>
      <c r="N103" s="372">
        <v>43264</v>
      </c>
      <c r="O103" s="388">
        <f>60</f>
        <v>60</v>
      </c>
      <c r="P103" s="373">
        <f t="shared" si="21"/>
        <v>43236</v>
      </c>
      <c r="Q103" s="374" t="str">
        <f t="shared" ca="1" si="22"/>
        <v>Уже не актуально</v>
      </c>
      <c r="R103" s="375" t="s">
        <v>11</v>
      </c>
      <c r="S103" s="376"/>
      <c r="T103" s="376"/>
      <c r="U103" s="376">
        <v>43324</v>
      </c>
      <c r="V103" s="374" t="s">
        <v>335</v>
      </c>
      <c r="W103" s="376">
        <v>43324</v>
      </c>
      <c r="X103" s="376" t="s">
        <v>176</v>
      </c>
      <c r="Y103" s="376" t="s">
        <v>176</v>
      </c>
      <c r="Z103" s="376" t="s">
        <v>111</v>
      </c>
      <c r="AA103" s="376" t="s">
        <v>111</v>
      </c>
      <c r="AB103" s="385">
        <v>43329</v>
      </c>
      <c r="AC103" s="250" t="s">
        <v>364</v>
      </c>
      <c r="AD103" s="251">
        <f t="shared" si="20"/>
        <v>33</v>
      </c>
      <c r="AE103" s="234" t="s">
        <v>327</v>
      </c>
      <c r="AF103" s="234"/>
      <c r="AG103" s="237"/>
      <c r="AH103" s="236"/>
      <c r="AK103" s="255" t="s">
        <v>315</v>
      </c>
      <c r="AL103" s="123"/>
    </row>
    <row r="104" spans="1:38" ht="54.95" hidden="1" customHeight="1">
      <c r="A104" s="288" t="s">
        <v>15</v>
      </c>
      <c r="B104" s="288" t="s">
        <v>21</v>
      </c>
      <c r="C104" s="288" t="s">
        <v>145</v>
      </c>
      <c r="D104" s="288" t="s">
        <v>123</v>
      </c>
      <c r="E104" s="289" t="s">
        <v>130</v>
      </c>
      <c r="F104" s="289"/>
      <c r="G104" s="288" t="s">
        <v>4</v>
      </c>
      <c r="H104" s="288" t="s">
        <v>275</v>
      </c>
      <c r="I104" s="290"/>
      <c r="J104" s="290"/>
      <c r="K104" s="290"/>
      <c r="L104" s="388">
        <v>43219</v>
      </c>
      <c r="M104" s="372">
        <v>43296</v>
      </c>
      <c r="N104" s="372">
        <v>43264</v>
      </c>
      <c r="O104" s="388">
        <f>60</f>
        <v>60</v>
      </c>
      <c r="P104" s="373">
        <f t="shared" si="21"/>
        <v>43236</v>
      </c>
      <c r="Q104" s="374" t="str">
        <f t="shared" ca="1" si="22"/>
        <v>Уже не актуально</v>
      </c>
      <c r="R104" s="375" t="s">
        <v>11</v>
      </c>
      <c r="S104" s="376"/>
      <c r="T104" s="376"/>
      <c r="U104" s="376">
        <v>43336</v>
      </c>
      <c r="V104" s="374" t="s">
        <v>335</v>
      </c>
      <c r="W104" s="376">
        <v>43336</v>
      </c>
      <c r="X104" s="376" t="s">
        <v>176</v>
      </c>
      <c r="Y104" s="376" t="s">
        <v>176</v>
      </c>
      <c r="Z104" s="376" t="s">
        <v>111</v>
      </c>
      <c r="AA104" s="376" t="s">
        <v>111</v>
      </c>
      <c r="AB104" s="385">
        <v>43339</v>
      </c>
      <c r="AC104" s="250" t="s">
        <v>370</v>
      </c>
      <c r="AD104" s="251">
        <f t="shared" si="20"/>
        <v>43</v>
      </c>
      <c r="AE104" s="234" t="s">
        <v>327</v>
      </c>
      <c r="AF104" s="234"/>
      <c r="AG104" s="237"/>
      <c r="AH104" s="236"/>
      <c r="AK104" s="255" t="s">
        <v>315</v>
      </c>
      <c r="AL104" s="123"/>
    </row>
    <row r="105" spans="1:38" ht="54.95" hidden="1" customHeight="1">
      <c r="A105" s="288" t="s">
        <v>15</v>
      </c>
      <c r="B105" s="288" t="s">
        <v>21</v>
      </c>
      <c r="C105" s="288" t="s">
        <v>145</v>
      </c>
      <c r="D105" s="288" t="s">
        <v>123</v>
      </c>
      <c r="E105" s="289" t="s">
        <v>130</v>
      </c>
      <c r="F105" s="289"/>
      <c r="G105" s="288" t="s">
        <v>4</v>
      </c>
      <c r="H105" s="288" t="s">
        <v>276</v>
      </c>
      <c r="I105" s="290"/>
      <c r="J105" s="290"/>
      <c r="K105" s="290"/>
      <c r="L105" s="388">
        <v>43242</v>
      </c>
      <c r="M105" s="372">
        <v>43334</v>
      </c>
      <c r="N105" s="372"/>
      <c r="O105" s="388">
        <f>60</f>
        <v>60</v>
      </c>
      <c r="P105" s="373">
        <f t="shared" si="21"/>
        <v>43274</v>
      </c>
      <c r="Q105" s="374" t="s">
        <v>305</v>
      </c>
      <c r="R105" s="375" t="s">
        <v>11</v>
      </c>
      <c r="S105" s="376"/>
      <c r="T105" s="376"/>
      <c r="U105" s="376">
        <v>43372</v>
      </c>
      <c r="V105" s="374" t="s">
        <v>419</v>
      </c>
      <c r="W105" s="376">
        <v>43372</v>
      </c>
      <c r="X105" s="376" t="s">
        <v>177</v>
      </c>
      <c r="Y105" s="376" t="s">
        <v>177</v>
      </c>
      <c r="Z105" s="376">
        <v>43357</v>
      </c>
      <c r="AA105" s="376">
        <v>43360</v>
      </c>
      <c r="AB105" s="385">
        <v>43380</v>
      </c>
      <c r="AC105" s="250" t="s">
        <v>440</v>
      </c>
      <c r="AD105" s="251">
        <f t="shared" si="20"/>
        <v>46</v>
      </c>
      <c r="AE105" s="234" t="s">
        <v>359</v>
      </c>
      <c r="AF105" s="255" t="s">
        <v>387</v>
      </c>
      <c r="AG105" s="237"/>
      <c r="AH105" s="236"/>
      <c r="AK105" s="255" t="s">
        <v>315</v>
      </c>
      <c r="AL105" s="138"/>
    </row>
    <row r="106" spans="1:38" ht="54.95" hidden="1" customHeight="1">
      <c r="A106" s="288" t="s">
        <v>15</v>
      </c>
      <c r="B106" s="288" t="s">
        <v>21</v>
      </c>
      <c r="C106" s="288" t="s">
        <v>145</v>
      </c>
      <c r="D106" s="288" t="s">
        <v>123</v>
      </c>
      <c r="E106" s="289" t="s">
        <v>130</v>
      </c>
      <c r="F106" s="289"/>
      <c r="G106" s="288" t="s">
        <v>4</v>
      </c>
      <c r="H106" s="288" t="s">
        <v>291</v>
      </c>
      <c r="I106" s="290"/>
      <c r="J106" s="290"/>
      <c r="K106" s="290"/>
      <c r="L106" s="388">
        <v>43242</v>
      </c>
      <c r="M106" s="372">
        <v>43334</v>
      </c>
      <c r="N106" s="372"/>
      <c r="O106" s="388">
        <f>60</f>
        <v>60</v>
      </c>
      <c r="P106" s="373">
        <f t="shared" si="21"/>
        <v>43274</v>
      </c>
      <c r="Q106" s="374" t="s">
        <v>305</v>
      </c>
      <c r="R106" s="375" t="s">
        <v>11</v>
      </c>
      <c r="S106" s="376"/>
      <c r="T106" s="376"/>
      <c r="U106" s="376">
        <v>43383</v>
      </c>
      <c r="V106" s="374" t="s">
        <v>203</v>
      </c>
      <c r="W106" s="376">
        <v>43383</v>
      </c>
      <c r="X106" s="376" t="s">
        <v>177</v>
      </c>
      <c r="Y106" s="376" t="s">
        <v>177</v>
      </c>
      <c r="Z106" s="376">
        <v>43357</v>
      </c>
      <c r="AA106" s="376">
        <v>43360</v>
      </c>
      <c r="AB106" s="385">
        <v>43386</v>
      </c>
      <c r="AC106" s="250" t="str">
        <f ca="1">IF(AB106&lt;TODAY()-5,IF(AB106="","Еще рано","Уже не актуально"),IF(AB106&gt;TODAY()-2,"Еще рано","Пора отправлять"))</f>
        <v>Уже не актуально</v>
      </c>
      <c r="AD106" s="251">
        <f t="shared" si="20"/>
        <v>52</v>
      </c>
      <c r="AE106" s="234" t="s">
        <v>359</v>
      </c>
      <c r="AF106" s="255" t="s">
        <v>386</v>
      </c>
      <c r="AG106" s="237"/>
      <c r="AH106" s="236"/>
      <c r="AK106" s="255" t="s">
        <v>315</v>
      </c>
      <c r="AL106" s="138"/>
    </row>
    <row r="107" spans="1:38" ht="54.95" hidden="1" customHeight="1">
      <c r="A107" s="288" t="s">
        <v>15</v>
      </c>
      <c r="B107" s="288" t="s">
        <v>21</v>
      </c>
      <c r="C107" s="288" t="s">
        <v>145</v>
      </c>
      <c r="D107" s="288" t="s">
        <v>123</v>
      </c>
      <c r="E107" s="289" t="s">
        <v>130</v>
      </c>
      <c r="F107" s="289"/>
      <c r="G107" s="288" t="s">
        <v>4</v>
      </c>
      <c r="H107" s="288" t="s">
        <v>293</v>
      </c>
      <c r="I107" s="290"/>
      <c r="J107" s="290"/>
      <c r="K107" s="290"/>
      <c r="L107" s="388">
        <v>43244</v>
      </c>
      <c r="M107" s="372">
        <v>43342</v>
      </c>
      <c r="N107" s="372"/>
      <c r="O107" s="388">
        <f>60</f>
        <v>60</v>
      </c>
      <c r="P107" s="373">
        <f t="shared" si="21"/>
        <v>43282</v>
      </c>
      <c r="Q107" s="374" t="s">
        <v>309</v>
      </c>
      <c r="R107" s="375" t="s">
        <v>11</v>
      </c>
      <c r="S107" s="376"/>
      <c r="T107" s="376"/>
      <c r="U107" s="376">
        <v>43386</v>
      </c>
      <c r="V107" s="374" t="s">
        <v>203</v>
      </c>
      <c r="W107" s="376">
        <v>43383</v>
      </c>
      <c r="X107" s="376" t="s">
        <v>177</v>
      </c>
      <c r="Y107" s="376" t="s">
        <v>177</v>
      </c>
      <c r="Z107" s="376">
        <v>43383</v>
      </c>
      <c r="AA107" s="376" t="s">
        <v>111</v>
      </c>
      <c r="AB107" s="385">
        <v>43386</v>
      </c>
      <c r="AC107" s="250" t="str">
        <f ca="1">IF(AB107&lt;TODAY()-5,IF(AB107="","Еще рано","Уже не актуально"),IF(AB107&gt;TODAY()-2,"Еще рано","Пора отправлять"))</f>
        <v>Уже не актуально</v>
      </c>
      <c r="AD107" s="251">
        <f t="shared" si="20"/>
        <v>44</v>
      </c>
      <c r="AE107" s="234"/>
      <c r="AF107" s="255" t="s">
        <v>385</v>
      </c>
      <c r="AG107" s="237"/>
      <c r="AH107" s="236"/>
      <c r="AK107" s="255" t="s">
        <v>315</v>
      </c>
      <c r="AL107" s="139"/>
    </row>
    <row r="108" spans="1:38" ht="54.95" hidden="1" customHeight="1">
      <c r="A108" s="288" t="s">
        <v>15</v>
      </c>
      <c r="B108" s="288" t="s">
        <v>21</v>
      </c>
      <c r="C108" s="288" t="s">
        <v>145</v>
      </c>
      <c r="D108" s="288" t="s">
        <v>123</v>
      </c>
      <c r="E108" s="289" t="s">
        <v>130</v>
      </c>
      <c r="F108" s="289"/>
      <c r="G108" s="288" t="s">
        <v>4</v>
      </c>
      <c r="H108" s="288" t="s">
        <v>299</v>
      </c>
      <c r="I108" s="290"/>
      <c r="J108" s="290"/>
      <c r="K108" s="290"/>
      <c r="L108" s="388">
        <v>43260</v>
      </c>
      <c r="M108" s="372">
        <v>43352</v>
      </c>
      <c r="N108" s="372"/>
      <c r="O108" s="388">
        <f>60</f>
        <v>60</v>
      </c>
      <c r="P108" s="373">
        <f t="shared" si="21"/>
        <v>43292</v>
      </c>
      <c r="Q108" s="374" t="s">
        <v>323</v>
      </c>
      <c r="R108" s="375" t="s">
        <v>11</v>
      </c>
      <c r="S108" s="376"/>
      <c r="T108" s="376"/>
      <c r="U108" s="376">
        <v>43403</v>
      </c>
      <c r="V108" s="374" t="s">
        <v>203</v>
      </c>
      <c r="W108" s="376">
        <v>43398</v>
      </c>
      <c r="X108" s="376" t="s">
        <v>177</v>
      </c>
      <c r="Y108" s="376" t="s">
        <v>177</v>
      </c>
      <c r="Z108" s="376" t="s">
        <v>111</v>
      </c>
      <c r="AA108" s="376" t="s">
        <v>111</v>
      </c>
      <c r="AB108" s="385">
        <v>43399</v>
      </c>
      <c r="AC108" s="250" t="s">
        <v>452</v>
      </c>
      <c r="AD108" s="251">
        <f t="shared" si="20"/>
        <v>47</v>
      </c>
      <c r="AE108" s="234"/>
      <c r="AF108" s="255" t="s">
        <v>384</v>
      </c>
      <c r="AG108" s="237"/>
      <c r="AH108" s="236"/>
      <c r="AK108" s="255" t="s">
        <v>315</v>
      </c>
      <c r="AL108" s="141"/>
    </row>
    <row r="109" spans="1:38" ht="54.95" hidden="1" customHeight="1">
      <c r="A109" s="288" t="s">
        <v>15</v>
      </c>
      <c r="B109" s="288" t="s">
        <v>21</v>
      </c>
      <c r="C109" s="288" t="s">
        <v>145</v>
      </c>
      <c r="D109" s="288" t="s">
        <v>123</v>
      </c>
      <c r="E109" s="289" t="s">
        <v>130</v>
      </c>
      <c r="F109" s="289"/>
      <c r="G109" s="288" t="s">
        <v>4</v>
      </c>
      <c r="H109" s="288" t="s">
        <v>325</v>
      </c>
      <c r="I109" s="290"/>
      <c r="J109" s="290"/>
      <c r="K109" s="290"/>
      <c r="L109" s="388">
        <v>43297</v>
      </c>
      <c r="M109" s="372">
        <v>43373</v>
      </c>
      <c r="N109" s="372"/>
      <c r="O109" s="388">
        <f>60</f>
        <v>60</v>
      </c>
      <c r="P109" s="373">
        <f t="shared" si="21"/>
        <v>43313</v>
      </c>
      <c r="Q109" s="374" t="str">
        <f t="shared" ref="Q109:Q132" ca="1" si="23">IF(P109&gt;=TODAY()-5,IF(P109&lt;TODAY()+6,"Пора отправлять","Еще рано"),"Уже не актуально")</f>
        <v>Уже не актуально</v>
      </c>
      <c r="R109" s="375" t="s">
        <v>11</v>
      </c>
      <c r="S109" s="376"/>
      <c r="T109" s="376"/>
      <c r="U109" s="376">
        <v>43405</v>
      </c>
      <c r="V109" s="374" t="s">
        <v>203</v>
      </c>
      <c r="W109" s="376">
        <v>43405</v>
      </c>
      <c r="X109" s="376" t="s">
        <v>177</v>
      </c>
      <c r="Y109" s="376" t="s">
        <v>177</v>
      </c>
      <c r="Z109" s="376">
        <v>43402</v>
      </c>
      <c r="AA109" s="376">
        <v>43403</v>
      </c>
      <c r="AB109" s="385">
        <v>43406</v>
      </c>
      <c r="AC109" s="250" t="s">
        <v>469</v>
      </c>
      <c r="AD109" s="251">
        <f t="shared" si="20"/>
        <v>33</v>
      </c>
      <c r="AE109" s="234"/>
      <c r="AF109" s="255" t="s">
        <v>383</v>
      </c>
      <c r="AG109" s="237"/>
      <c r="AH109" s="236"/>
      <c r="AK109" s="255" t="s">
        <v>315</v>
      </c>
      <c r="AL109" s="151"/>
    </row>
    <row r="110" spans="1:38" ht="54.95" hidden="1" customHeight="1">
      <c r="A110" s="288" t="s">
        <v>15</v>
      </c>
      <c r="B110" s="288" t="s">
        <v>21</v>
      </c>
      <c r="C110" s="288" t="s">
        <v>145</v>
      </c>
      <c r="D110" s="288" t="s">
        <v>123</v>
      </c>
      <c r="E110" s="289" t="s">
        <v>130</v>
      </c>
      <c r="F110" s="289"/>
      <c r="G110" s="288" t="s">
        <v>4</v>
      </c>
      <c r="H110" s="288" t="s">
        <v>326</v>
      </c>
      <c r="I110" s="290"/>
      <c r="J110" s="290"/>
      <c r="K110" s="290"/>
      <c r="L110" s="388">
        <v>43297</v>
      </c>
      <c r="M110" s="372">
        <v>43373</v>
      </c>
      <c r="N110" s="372"/>
      <c r="O110" s="388">
        <f>60</f>
        <v>60</v>
      </c>
      <c r="P110" s="373">
        <f t="shared" si="21"/>
        <v>43313</v>
      </c>
      <c r="Q110" s="374" t="str">
        <f t="shared" ca="1" si="23"/>
        <v>Уже не актуально</v>
      </c>
      <c r="R110" s="375" t="s">
        <v>11</v>
      </c>
      <c r="S110" s="376"/>
      <c r="T110" s="376"/>
      <c r="U110" s="376">
        <v>43405</v>
      </c>
      <c r="V110" s="374" t="s">
        <v>203</v>
      </c>
      <c r="W110" s="376">
        <v>43405</v>
      </c>
      <c r="X110" s="376" t="s">
        <v>177</v>
      </c>
      <c r="Y110" s="376" t="s">
        <v>177</v>
      </c>
      <c r="Z110" s="376">
        <v>43402</v>
      </c>
      <c r="AA110" s="376">
        <v>43403</v>
      </c>
      <c r="AB110" s="385">
        <v>43406</v>
      </c>
      <c r="AC110" s="250" t="s">
        <v>469</v>
      </c>
      <c r="AD110" s="251">
        <f t="shared" si="20"/>
        <v>33</v>
      </c>
      <c r="AE110" s="234"/>
      <c r="AF110" s="255" t="s">
        <v>382</v>
      </c>
      <c r="AG110" s="237"/>
      <c r="AH110" s="236"/>
      <c r="AK110" s="255" t="s">
        <v>315</v>
      </c>
      <c r="AL110" s="164"/>
    </row>
    <row r="111" spans="1:38" ht="54.95" hidden="1" customHeight="1">
      <c r="A111" s="288" t="s">
        <v>15</v>
      </c>
      <c r="B111" s="288" t="s">
        <v>21</v>
      </c>
      <c r="C111" s="288" t="s">
        <v>145</v>
      </c>
      <c r="D111" s="288" t="s">
        <v>123</v>
      </c>
      <c r="E111" s="289" t="s">
        <v>130</v>
      </c>
      <c r="F111" s="289"/>
      <c r="G111" s="288" t="s">
        <v>4</v>
      </c>
      <c r="H111" s="288" t="s">
        <v>412</v>
      </c>
      <c r="I111" s="290"/>
      <c r="J111" s="290"/>
      <c r="K111" s="290"/>
      <c r="L111" s="388">
        <v>43349</v>
      </c>
      <c r="M111" s="372">
        <v>43403</v>
      </c>
      <c r="N111" s="372"/>
      <c r="O111" s="388">
        <f>60</f>
        <v>60</v>
      </c>
      <c r="P111" s="373">
        <f t="shared" si="21"/>
        <v>43343</v>
      </c>
      <c r="Q111" s="374" t="str">
        <f t="shared" ca="1" si="23"/>
        <v>Уже не актуально</v>
      </c>
      <c r="R111" s="375" t="s">
        <v>11</v>
      </c>
      <c r="S111" s="376" t="s">
        <v>508</v>
      </c>
      <c r="T111" s="376"/>
      <c r="U111" s="376">
        <v>43405</v>
      </c>
      <c r="V111" s="374" t="s">
        <v>203</v>
      </c>
      <c r="W111" s="376">
        <v>43405</v>
      </c>
      <c r="X111" s="376" t="s">
        <v>177</v>
      </c>
      <c r="Y111" s="376" t="s">
        <v>177</v>
      </c>
      <c r="Z111" s="376">
        <v>43402</v>
      </c>
      <c r="AA111" s="376">
        <v>43403</v>
      </c>
      <c r="AB111" s="385">
        <v>43406</v>
      </c>
      <c r="AC111" s="250" t="s">
        <v>469</v>
      </c>
      <c r="AD111" s="251">
        <f t="shared" si="20"/>
        <v>3</v>
      </c>
      <c r="AE111" s="234"/>
      <c r="AF111" s="255" t="s">
        <v>418</v>
      </c>
      <c r="AG111" s="237"/>
      <c r="AH111" s="236"/>
      <c r="AK111" s="255" t="s">
        <v>315</v>
      </c>
      <c r="AL111" s="164"/>
    </row>
    <row r="112" spans="1:38" ht="54.95" hidden="1" customHeight="1">
      <c r="A112" s="288" t="s">
        <v>15</v>
      </c>
      <c r="B112" s="288" t="s">
        <v>21</v>
      </c>
      <c r="C112" s="288" t="s">
        <v>145</v>
      </c>
      <c r="D112" s="288" t="s">
        <v>123</v>
      </c>
      <c r="E112" s="289" t="s">
        <v>130</v>
      </c>
      <c r="F112" s="289"/>
      <c r="G112" s="288" t="s">
        <v>4</v>
      </c>
      <c r="H112" s="288" t="s">
        <v>413</v>
      </c>
      <c r="I112" s="290"/>
      <c r="J112" s="290"/>
      <c r="K112" s="290"/>
      <c r="L112" s="388">
        <v>43355</v>
      </c>
      <c r="M112" s="372">
        <v>43416</v>
      </c>
      <c r="N112" s="372" t="s">
        <v>228</v>
      </c>
      <c r="O112" s="388">
        <f>60</f>
        <v>60</v>
      </c>
      <c r="P112" s="373">
        <f t="shared" si="21"/>
        <v>43356</v>
      </c>
      <c r="Q112" s="374" t="str">
        <f t="shared" ca="1" si="23"/>
        <v>Уже не актуально</v>
      </c>
      <c r="R112" s="375" t="s">
        <v>11</v>
      </c>
      <c r="S112" s="376" t="s">
        <v>196</v>
      </c>
      <c r="T112" s="376"/>
      <c r="U112" s="376">
        <v>43444</v>
      </c>
      <c r="V112" s="374" t="s">
        <v>203</v>
      </c>
      <c r="W112" s="376">
        <v>43444</v>
      </c>
      <c r="X112" s="376" t="s">
        <v>177</v>
      </c>
      <c r="Y112" s="376" t="s">
        <v>177</v>
      </c>
      <c r="Z112" s="376" t="s">
        <v>111</v>
      </c>
      <c r="AA112" s="376" t="s">
        <v>111</v>
      </c>
      <c r="AB112" s="385">
        <v>43449</v>
      </c>
      <c r="AC112" s="250" t="str">
        <f ca="1">IF(AB112&lt;TODAY()-5,IF(AB112="","Еще рано","Уже не актуально"),IF(AB112&gt;TODAY()-2,"Еще рано","Пора отправлять"))</f>
        <v>Уже не актуально</v>
      </c>
      <c r="AD112" s="251">
        <f t="shared" si="20"/>
        <v>33</v>
      </c>
      <c r="AE112" s="234"/>
      <c r="AF112" s="255" t="s">
        <v>416</v>
      </c>
      <c r="AG112" s="237"/>
      <c r="AH112" s="236"/>
      <c r="AK112" s="255" t="s">
        <v>315</v>
      </c>
      <c r="AL112" s="164"/>
    </row>
    <row r="113" spans="1:38" ht="54.95" hidden="1" customHeight="1">
      <c r="A113" s="288" t="s">
        <v>15</v>
      </c>
      <c r="B113" s="288" t="s">
        <v>21</v>
      </c>
      <c r="C113" s="288" t="s">
        <v>145</v>
      </c>
      <c r="D113" s="288" t="s">
        <v>123</v>
      </c>
      <c r="E113" s="289" t="s">
        <v>130</v>
      </c>
      <c r="F113" s="289"/>
      <c r="G113" s="288" t="s">
        <v>4</v>
      </c>
      <c r="H113" s="288" t="s">
        <v>414</v>
      </c>
      <c r="I113" s="290"/>
      <c r="J113" s="290"/>
      <c r="K113" s="290"/>
      <c r="L113" s="388">
        <v>43357</v>
      </c>
      <c r="M113" s="372">
        <v>43416</v>
      </c>
      <c r="N113" s="372" t="s">
        <v>228</v>
      </c>
      <c r="O113" s="388">
        <f>60</f>
        <v>60</v>
      </c>
      <c r="P113" s="373">
        <f t="shared" si="21"/>
        <v>43356</v>
      </c>
      <c r="Q113" s="374" t="str">
        <f t="shared" ca="1" si="23"/>
        <v>Уже не актуально</v>
      </c>
      <c r="R113" s="375" t="s">
        <v>11</v>
      </c>
      <c r="S113" s="376" t="s">
        <v>196</v>
      </c>
      <c r="T113" s="376"/>
      <c r="U113" s="376">
        <v>43444</v>
      </c>
      <c r="V113" s="374" t="s">
        <v>203</v>
      </c>
      <c r="W113" s="376">
        <v>43444</v>
      </c>
      <c r="X113" s="376" t="s">
        <v>177</v>
      </c>
      <c r="Y113" s="376" t="s">
        <v>177</v>
      </c>
      <c r="Z113" s="376" t="s">
        <v>111</v>
      </c>
      <c r="AA113" s="376" t="s">
        <v>111</v>
      </c>
      <c r="AB113" s="385">
        <v>43449</v>
      </c>
      <c r="AC113" s="250" t="str">
        <f ca="1">IF(AB113&lt;TODAY()-5,IF(AB113="","Еще рано","Уже не актуально"),IF(AB113&gt;TODAY()-2,"Еще рано","Пора отправлять"))</f>
        <v>Уже не актуально</v>
      </c>
      <c r="AD113" s="251">
        <f t="shared" si="20"/>
        <v>33</v>
      </c>
      <c r="AE113" s="234"/>
      <c r="AF113" s="255" t="s">
        <v>417</v>
      </c>
      <c r="AG113" s="237"/>
      <c r="AH113" s="236"/>
      <c r="AK113" s="255" t="s">
        <v>315</v>
      </c>
      <c r="AL113" s="164"/>
    </row>
    <row r="114" spans="1:38" ht="54.95" hidden="1" customHeight="1">
      <c r="A114" s="288" t="s">
        <v>15</v>
      </c>
      <c r="B114" s="288" t="s">
        <v>21</v>
      </c>
      <c r="C114" s="288" t="s">
        <v>145</v>
      </c>
      <c r="D114" s="288" t="s">
        <v>123</v>
      </c>
      <c r="E114" s="289" t="s">
        <v>130</v>
      </c>
      <c r="F114" s="289"/>
      <c r="G114" s="292" t="s">
        <v>483</v>
      </c>
      <c r="H114" s="288" t="s">
        <v>439</v>
      </c>
      <c r="I114" s="290"/>
      <c r="J114" s="290"/>
      <c r="K114" s="290"/>
      <c r="L114" s="388">
        <v>43434</v>
      </c>
      <c r="M114" s="372">
        <v>43554</v>
      </c>
      <c r="N114" s="372" t="s">
        <v>228</v>
      </c>
      <c r="O114" s="388">
        <f>60</f>
        <v>60</v>
      </c>
      <c r="P114" s="373">
        <f t="shared" si="21"/>
        <v>43494</v>
      </c>
      <c r="Q114" s="374" t="str">
        <f t="shared" ca="1" si="23"/>
        <v>Уже не актуально</v>
      </c>
      <c r="R114" s="375" t="s">
        <v>11</v>
      </c>
      <c r="S114" s="376" t="s">
        <v>655</v>
      </c>
      <c r="T114" s="376"/>
      <c r="U114" s="376">
        <v>43560</v>
      </c>
      <c r="V114" s="374" t="s">
        <v>601</v>
      </c>
      <c r="W114" s="376">
        <v>43559</v>
      </c>
      <c r="X114" s="376" t="s">
        <v>177</v>
      </c>
      <c r="Y114" s="376" t="s">
        <v>177</v>
      </c>
      <c r="Z114" s="376" t="s">
        <v>111</v>
      </c>
      <c r="AA114" s="376" t="str">
        <f>IF(Z114="","Рано","Когда?")</f>
        <v>Когда?</v>
      </c>
      <c r="AB114" s="385">
        <v>43580</v>
      </c>
      <c r="AC114" s="250" t="str">
        <f ca="1">IF(AB114&lt;TODAY()-5,IF(AB114="","Еще рано","Уже не актуально"),IF(AB114&gt;TODAY()-2,"Еще рано","Пора отправлять"))</f>
        <v>Уже не актуально</v>
      </c>
      <c r="AD114" s="251">
        <f t="shared" si="20"/>
        <v>26</v>
      </c>
      <c r="AE114" s="234"/>
      <c r="AF114" s="255" t="s">
        <v>441</v>
      </c>
      <c r="AG114" s="237"/>
      <c r="AH114" s="236"/>
      <c r="AK114" s="255" t="s">
        <v>315</v>
      </c>
      <c r="AL114" s="167"/>
    </row>
    <row r="115" spans="1:38" ht="54.95" hidden="1" customHeight="1">
      <c r="A115" s="288" t="s">
        <v>15</v>
      </c>
      <c r="B115" s="288" t="s">
        <v>21</v>
      </c>
      <c r="C115" s="288" t="s">
        <v>145</v>
      </c>
      <c r="D115" s="288" t="s">
        <v>123</v>
      </c>
      <c r="E115" s="289" t="s">
        <v>130</v>
      </c>
      <c r="F115" s="289"/>
      <c r="G115" s="292" t="s">
        <v>483</v>
      </c>
      <c r="H115" s="288" t="s">
        <v>453</v>
      </c>
      <c r="I115" s="290"/>
      <c r="J115" s="290"/>
      <c r="K115" s="290"/>
      <c r="L115" s="388">
        <v>43434</v>
      </c>
      <c r="M115" s="372">
        <v>43554</v>
      </c>
      <c r="N115" s="372" t="s">
        <v>228</v>
      </c>
      <c r="O115" s="388">
        <f>60</f>
        <v>60</v>
      </c>
      <c r="P115" s="373">
        <f t="shared" si="21"/>
        <v>43494</v>
      </c>
      <c r="Q115" s="374" t="str">
        <f t="shared" ca="1" si="23"/>
        <v>Уже не актуально</v>
      </c>
      <c r="R115" s="375" t="s">
        <v>11</v>
      </c>
      <c r="S115" s="376" t="s">
        <v>655</v>
      </c>
      <c r="T115" s="376"/>
      <c r="U115" s="376">
        <v>43565</v>
      </c>
      <c r="V115" s="374" t="s">
        <v>601</v>
      </c>
      <c r="W115" s="376">
        <v>43575</v>
      </c>
      <c r="X115" s="376" t="s">
        <v>177</v>
      </c>
      <c r="Y115" s="376" t="s">
        <v>177</v>
      </c>
      <c r="Z115" s="376" t="s">
        <v>111</v>
      </c>
      <c r="AA115" s="376" t="str">
        <f>IF(Z115="","Рано","Когда?")</f>
        <v>Когда?</v>
      </c>
      <c r="AB115" s="385">
        <v>43580</v>
      </c>
      <c r="AC115" s="250" t="str">
        <f ca="1">IF(AB115&lt;TODAY()-5,IF(AB115="","Еще рано","Уже не актуально"),IF(AB115&gt;TODAY()-2,"Еще рано","Пора отправлять"))</f>
        <v>Уже не актуально</v>
      </c>
      <c r="AD115" s="251">
        <f t="shared" si="20"/>
        <v>26</v>
      </c>
      <c r="AE115" s="234"/>
      <c r="AF115" s="255" t="s">
        <v>533</v>
      </c>
      <c r="AG115" s="237"/>
      <c r="AH115" s="236"/>
      <c r="AK115" s="255" t="s">
        <v>315</v>
      </c>
      <c r="AL115" s="176"/>
    </row>
    <row r="116" spans="1:38" ht="54.95" hidden="1" customHeight="1">
      <c r="A116" s="288" t="s">
        <v>15</v>
      </c>
      <c r="B116" s="288" t="s">
        <v>21</v>
      </c>
      <c r="C116" s="288" t="s">
        <v>145</v>
      </c>
      <c r="D116" s="288" t="s">
        <v>123</v>
      </c>
      <c r="E116" s="289" t="s">
        <v>130</v>
      </c>
      <c r="F116" s="289"/>
      <c r="G116" s="292" t="s">
        <v>483</v>
      </c>
      <c r="H116" s="288" t="s">
        <v>527</v>
      </c>
      <c r="I116" s="290"/>
      <c r="J116" s="290"/>
      <c r="K116" s="290"/>
      <c r="L116" s="388">
        <v>43432</v>
      </c>
      <c r="M116" s="372">
        <v>43554</v>
      </c>
      <c r="N116" s="372" t="s">
        <v>228</v>
      </c>
      <c r="O116" s="388">
        <f>60</f>
        <v>60</v>
      </c>
      <c r="P116" s="373">
        <f t="shared" ref="P116:P121" si="24">M116-O116</f>
        <v>43494</v>
      </c>
      <c r="Q116" s="374" t="str">
        <f t="shared" ca="1" si="23"/>
        <v>Уже не актуально</v>
      </c>
      <c r="R116" s="375" t="s">
        <v>11</v>
      </c>
      <c r="S116" s="376" t="s">
        <v>655</v>
      </c>
      <c r="T116" s="376"/>
      <c r="U116" s="376">
        <v>43590</v>
      </c>
      <c r="V116" s="374" t="str">
        <f ca="1">IF(U116&gt;TODAY(),IF(U116&lt;TODAY()+17,"Пора отправлять","Еще рано"),"Уже не актуально")</f>
        <v>Уже не актуально</v>
      </c>
      <c r="W116" s="376">
        <v>43590</v>
      </c>
      <c r="X116" s="376" t="s">
        <v>177</v>
      </c>
      <c r="Y116" s="376" t="s">
        <v>177</v>
      </c>
      <c r="Z116" s="376"/>
      <c r="AA116" s="376" t="str">
        <f>IF(Z116="","Рано","Когда?")</f>
        <v>Рано</v>
      </c>
      <c r="AB116" s="385">
        <v>43592</v>
      </c>
      <c r="AC116" s="250" t="s">
        <v>658</v>
      </c>
      <c r="AD116" s="251">
        <f t="shared" ref="AD116:AD121" si="25">AB116-M116</f>
        <v>38</v>
      </c>
      <c r="AE116" s="234"/>
      <c r="AF116" s="255" t="s">
        <v>605</v>
      </c>
      <c r="AG116" s="237"/>
      <c r="AH116" s="236"/>
      <c r="AK116" s="255" t="s">
        <v>315</v>
      </c>
      <c r="AL116" s="199"/>
    </row>
    <row r="117" spans="1:38" ht="54.95" hidden="1" customHeight="1">
      <c r="A117" s="288" t="s">
        <v>15</v>
      </c>
      <c r="B117" s="288" t="s">
        <v>21</v>
      </c>
      <c r="C117" s="288" t="s">
        <v>145</v>
      </c>
      <c r="D117" s="288" t="s">
        <v>123</v>
      </c>
      <c r="E117" s="289" t="s">
        <v>130</v>
      </c>
      <c r="F117" s="289"/>
      <c r="G117" s="288" t="s">
        <v>483</v>
      </c>
      <c r="H117" s="288" t="s">
        <v>528</v>
      </c>
      <c r="I117" s="290"/>
      <c r="J117" s="290"/>
      <c r="K117" s="290"/>
      <c r="L117" s="388">
        <v>43435</v>
      </c>
      <c r="M117" s="372">
        <v>43585</v>
      </c>
      <c r="N117" s="372" t="s">
        <v>228</v>
      </c>
      <c r="O117" s="388">
        <f>60</f>
        <v>60</v>
      </c>
      <c r="P117" s="373">
        <f t="shared" si="24"/>
        <v>43525</v>
      </c>
      <c r="Q117" s="374" t="str">
        <f t="shared" ca="1" si="23"/>
        <v>Уже не актуально</v>
      </c>
      <c r="R117" s="375" t="s">
        <v>11</v>
      </c>
      <c r="S117" s="376" t="s">
        <v>655</v>
      </c>
      <c r="T117" s="376"/>
      <c r="U117" s="376">
        <v>43590</v>
      </c>
      <c r="V117" s="374" t="str">
        <f ca="1">IF(U117&gt;TODAY(),IF(U117&lt;TODAY()+17,"Пора отправлять","Еще рано"),"Уже не актуально")</f>
        <v>Уже не актуально</v>
      </c>
      <c r="W117" s="376">
        <v>43590</v>
      </c>
      <c r="X117" s="376" t="s">
        <v>177</v>
      </c>
      <c r="Y117" s="376" t="s">
        <v>177</v>
      </c>
      <c r="Z117" s="376"/>
      <c r="AA117" s="376" t="str">
        <f>IF(Z117="","Рано","Когда?")</f>
        <v>Рано</v>
      </c>
      <c r="AB117" s="385">
        <v>43592</v>
      </c>
      <c r="AC117" s="250" t="s">
        <v>658</v>
      </c>
      <c r="AD117" s="251">
        <f t="shared" si="25"/>
        <v>7</v>
      </c>
      <c r="AE117" s="234"/>
      <c r="AF117" s="255" t="s">
        <v>606</v>
      </c>
      <c r="AG117" s="237"/>
      <c r="AH117" s="236"/>
      <c r="AK117" s="255" t="s">
        <v>315</v>
      </c>
      <c r="AL117" s="199"/>
    </row>
    <row r="118" spans="1:38" ht="54.95" hidden="1" customHeight="1">
      <c r="A118" s="288" t="s">
        <v>15</v>
      </c>
      <c r="B118" s="288" t="s">
        <v>21</v>
      </c>
      <c r="C118" s="288" t="s">
        <v>145</v>
      </c>
      <c r="D118" s="288" t="s">
        <v>123</v>
      </c>
      <c r="E118" s="289" t="s">
        <v>130</v>
      </c>
      <c r="F118" s="289"/>
      <c r="G118" s="288" t="s">
        <v>483</v>
      </c>
      <c r="H118" s="288" t="s">
        <v>569</v>
      </c>
      <c r="I118" s="290"/>
      <c r="J118" s="290"/>
      <c r="K118" s="290"/>
      <c r="L118" s="388">
        <v>43440</v>
      </c>
      <c r="M118" s="372">
        <v>43585</v>
      </c>
      <c r="N118" s="372" t="s">
        <v>228</v>
      </c>
      <c r="O118" s="388">
        <f>60</f>
        <v>60</v>
      </c>
      <c r="P118" s="373">
        <f t="shared" si="24"/>
        <v>43525</v>
      </c>
      <c r="Q118" s="374" t="str">
        <f t="shared" ca="1" si="23"/>
        <v>Уже не актуально</v>
      </c>
      <c r="R118" s="375" t="s">
        <v>11</v>
      </c>
      <c r="S118" s="376" t="s">
        <v>655</v>
      </c>
      <c r="T118" s="376"/>
      <c r="U118" s="376">
        <v>43539</v>
      </c>
      <c r="V118" s="374" t="str">
        <f ca="1">IF(U118&gt;TODAY(),IF(U118&lt;TODAY()+17,"Пора отправлять","Еще рано"),"Уже не актуально")</f>
        <v>Уже не актуально</v>
      </c>
      <c r="W118" s="376">
        <v>43539</v>
      </c>
      <c r="X118" s="376" t="s">
        <v>177</v>
      </c>
      <c r="Y118" s="376" t="s">
        <v>177</v>
      </c>
      <c r="Z118" s="376">
        <v>43538</v>
      </c>
      <c r="AA118" s="376">
        <v>43538</v>
      </c>
      <c r="AB118" s="385">
        <v>43550</v>
      </c>
      <c r="AC118" s="250" t="s">
        <v>608</v>
      </c>
      <c r="AD118" s="251">
        <f t="shared" si="25"/>
        <v>-35</v>
      </c>
      <c r="AE118" s="234" t="s">
        <v>570</v>
      </c>
      <c r="AF118" s="255" t="s">
        <v>607</v>
      </c>
      <c r="AG118" s="237"/>
      <c r="AH118" s="236"/>
      <c r="AK118" s="255" t="s">
        <v>315</v>
      </c>
      <c r="AL118" s="199"/>
    </row>
    <row r="119" spans="1:38" ht="54.95" hidden="1" customHeight="1">
      <c r="A119" s="288" t="s">
        <v>15</v>
      </c>
      <c r="B119" s="288" t="s">
        <v>21</v>
      </c>
      <c r="C119" s="288" t="s">
        <v>145</v>
      </c>
      <c r="D119" s="288" t="s">
        <v>123</v>
      </c>
      <c r="E119" s="289" t="s">
        <v>677</v>
      </c>
      <c r="F119" s="289" t="s">
        <v>157</v>
      </c>
      <c r="G119" s="288" t="s">
        <v>483</v>
      </c>
      <c r="H119" s="288" t="s">
        <v>676</v>
      </c>
      <c r="I119" s="290"/>
      <c r="J119" s="290"/>
      <c r="K119" s="290"/>
      <c r="L119" s="388">
        <v>43608</v>
      </c>
      <c r="M119" s="372">
        <v>43692</v>
      </c>
      <c r="N119" s="372"/>
      <c r="O119" s="388">
        <f>60</f>
        <v>60</v>
      </c>
      <c r="P119" s="373">
        <f t="shared" si="24"/>
        <v>43632</v>
      </c>
      <c r="Q119" s="374" t="str">
        <f t="shared" ca="1" si="23"/>
        <v>Уже не актуально</v>
      </c>
      <c r="R119" s="375" t="s">
        <v>11</v>
      </c>
      <c r="S119" s="376" t="s">
        <v>655</v>
      </c>
      <c r="T119" s="376"/>
      <c r="U119" s="376">
        <f>M119+10</f>
        <v>43702</v>
      </c>
      <c r="V119" s="374" t="s">
        <v>735</v>
      </c>
      <c r="W119" s="376">
        <v>43709</v>
      </c>
      <c r="X119" s="376" t="s">
        <v>177</v>
      </c>
      <c r="Y119" s="376" t="s">
        <v>177</v>
      </c>
      <c r="Z119" s="376">
        <v>43538</v>
      </c>
      <c r="AA119" s="376">
        <v>43538</v>
      </c>
      <c r="AB119" s="385">
        <v>43710</v>
      </c>
      <c r="AC119" s="250" t="str">
        <f t="shared" ref="AC119:AC132" ca="1" si="26">IF(AB119&lt;TODAY()-5,IF(AB119="","Еще рано","Уже не актуально"),IF(AB119&gt;TODAY()-2,"Еще рано","Пора отправлять"))</f>
        <v>Уже не актуально</v>
      </c>
      <c r="AD119" s="251">
        <f t="shared" si="25"/>
        <v>18</v>
      </c>
      <c r="AE119" s="234" t="s">
        <v>570</v>
      </c>
      <c r="AF119" s="255" t="s">
        <v>607</v>
      </c>
      <c r="AG119" s="237"/>
      <c r="AH119" s="236"/>
      <c r="AK119" s="255" t="s">
        <v>315</v>
      </c>
      <c r="AL119" s="210"/>
    </row>
    <row r="120" spans="1:38" ht="54.95" hidden="1" customHeight="1">
      <c r="A120" s="288" t="s">
        <v>15</v>
      </c>
      <c r="B120" s="288" t="s">
        <v>21</v>
      </c>
      <c r="C120" s="288" t="s">
        <v>145</v>
      </c>
      <c r="D120" s="288" t="s">
        <v>123</v>
      </c>
      <c r="E120" s="289" t="s">
        <v>677</v>
      </c>
      <c r="F120" s="289" t="s">
        <v>157</v>
      </c>
      <c r="G120" s="288" t="s">
        <v>483</v>
      </c>
      <c r="H120" s="288" t="s">
        <v>692</v>
      </c>
      <c r="I120" s="290"/>
      <c r="J120" s="290"/>
      <c r="K120" s="290"/>
      <c r="L120" s="388">
        <v>43627</v>
      </c>
      <c r="M120" s="372">
        <v>43719</v>
      </c>
      <c r="N120" s="372"/>
      <c r="O120" s="388">
        <f>60</f>
        <v>60</v>
      </c>
      <c r="P120" s="373">
        <f t="shared" si="24"/>
        <v>43659</v>
      </c>
      <c r="Q120" s="374" t="str">
        <f t="shared" ca="1" si="23"/>
        <v>Уже не актуально</v>
      </c>
      <c r="R120" s="375" t="s">
        <v>11</v>
      </c>
      <c r="S120" s="376"/>
      <c r="T120" s="376"/>
      <c r="U120" s="376">
        <v>43692</v>
      </c>
      <c r="V120" s="374" t="s">
        <v>735</v>
      </c>
      <c r="W120" s="376">
        <v>43692</v>
      </c>
      <c r="X120" s="376" t="s">
        <v>177</v>
      </c>
      <c r="Y120" s="376" t="s">
        <v>177</v>
      </c>
      <c r="Z120" s="376"/>
      <c r="AA120" s="376"/>
      <c r="AB120" s="385">
        <v>43697</v>
      </c>
      <c r="AC120" s="250" t="str">
        <f t="shared" ca="1" si="26"/>
        <v>Уже не актуально</v>
      </c>
      <c r="AD120" s="251">
        <f t="shared" si="25"/>
        <v>-22</v>
      </c>
      <c r="AE120" s="234"/>
      <c r="AF120" s="255"/>
      <c r="AG120" s="237"/>
      <c r="AH120" s="236"/>
      <c r="AK120" s="255" t="s">
        <v>315</v>
      </c>
      <c r="AL120" s="212"/>
    </row>
    <row r="121" spans="1:38" ht="54.95" hidden="1" customHeight="1">
      <c r="A121" s="288" t="s">
        <v>15</v>
      </c>
      <c r="B121" s="288" t="s">
        <v>21</v>
      </c>
      <c r="C121" s="288" t="s">
        <v>145</v>
      </c>
      <c r="D121" s="288" t="s">
        <v>123</v>
      </c>
      <c r="E121" s="289" t="s">
        <v>677</v>
      </c>
      <c r="F121" s="289" t="s">
        <v>157</v>
      </c>
      <c r="G121" s="288" t="s">
        <v>483</v>
      </c>
      <c r="H121" s="288" t="s">
        <v>727</v>
      </c>
      <c r="I121" s="290"/>
      <c r="J121" s="290"/>
      <c r="K121" s="290"/>
      <c r="L121" s="388">
        <v>43662</v>
      </c>
      <c r="M121" s="372">
        <v>43754</v>
      </c>
      <c r="N121" s="372"/>
      <c r="O121" s="388">
        <f>60</f>
        <v>60</v>
      </c>
      <c r="P121" s="373">
        <f t="shared" si="24"/>
        <v>43694</v>
      </c>
      <c r="Q121" s="374" t="str">
        <f t="shared" ca="1" si="23"/>
        <v>Уже не актуально</v>
      </c>
      <c r="R121" s="375" t="s">
        <v>11</v>
      </c>
      <c r="S121" s="376"/>
      <c r="T121" s="376"/>
      <c r="U121" s="376">
        <v>43723</v>
      </c>
      <c r="V121" s="374" t="str">
        <f ca="1">IF(U121&gt;TODAY(),IF(U121&lt;TODAY()+17,"Пора отправлять","Еще рано"),"Уже не актуально")</f>
        <v>Уже не актуально</v>
      </c>
      <c r="W121" s="385">
        <v>43725</v>
      </c>
      <c r="X121" s="376" t="s">
        <v>177</v>
      </c>
      <c r="Y121" s="376" t="s">
        <v>177</v>
      </c>
      <c r="Z121" s="376"/>
      <c r="AA121" s="376"/>
      <c r="AB121" s="385">
        <v>43725</v>
      </c>
      <c r="AC121" s="250" t="str">
        <f t="shared" ca="1" si="26"/>
        <v>Уже не актуально</v>
      </c>
      <c r="AD121" s="251">
        <f t="shared" si="25"/>
        <v>-29</v>
      </c>
      <c r="AE121" s="234"/>
      <c r="AF121" s="255"/>
      <c r="AG121" s="237"/>
      <c r="AH121" s="236"/>
      <c r="AK121" s="255" t="s">
        <v>315</v>
      </c>
      <c r="AL121" s="214"/>
    </row>
    <row r="122" spans="1:38" ht="54.95" hidden="1" customHeight="1">
      <c r="A122" s="288" t="s">
        <v>15</v>
      </c>
      <c r="B122" s="288" t="s">
        <v>21</v>
      </c>
      <c r="C122" s="288" t="s">
        <v>145</v>
      </c>
      <c r="D122" s="288" t="s">
        <v>123</v>
      </c>
      <c r="E122" s="289" t="s">
        <v>677</v>
      </c>
      <c r="F122" s="289" t="s">
        <v>157</v>
      </c>
      <c r="G122" s="288" t="s">
        <v>483</v>
      </c>
      <c r="H122" s="288" t="s">
        <v>728</v>
      </c>
      <c r="I122" s="290"/>
      <c r="J122" s="290"/>
      <c r="K122" s="290"/>
      <c r="L122" s="388">
        <v>43670</v>
      </c>
      <c r="M122" s="372">
        <v>43762</v>
      </c>
      <c r="N122" s="372"/>
      <c r="O122" s="388">
        <f>60</f>
        <v>60</v>
      </c>
      <c r="P122" s="373"/>
      <c r="Q122" s="374" t="str">
        <f t="shared" ca="1" si="23"/>
        <v>Уже не актуально</v>
      </c>
      <c r="R122" s="375" t="s">
        <v>11</v>
      </c>
      <c r="S122" s="376"/>
      <c r="T122" s="376"/>
      <c r="U122" s="376">
        <v>43728</v>
      </c>
      <c r="V122" s="374" t="s">
        <v>203</v>
      </c>
      <c r="W122" s="385">
        <v>43725</v>
      </c>
      <c r="X122" s="376" t="s">
        <v>177</v>
      </c>
      <c r="Y122" s="376" t="s">
        <v>177</v>
      </c>
      <c r="Z122" s="376"/>
      <c r="AA122" s="376"/>
      <c r="AB122" s="385">
        <v>43725</v>
      </c>
      <c r="AC122" s="250" t="str">
        <f t="shared" ca="1" si="26"/>
        <v>Уже не актуально</v>
      </c>
      <c r="AD122" s="251">
        <f t="shared" ref="AD122:AD127" si="27">AB122-M122</f>
        <v>-37</v>
      </c>
      <c r="AE122" s="234"/>
      <c r="AF122" s="255"/>
      <c r="AG122" s="237"/>
      <c r="AH122" s="236"/>
      <c r="AK122" s="255" t="s">
        <v>315</v>
      </c>
      <c r="AL122" s="224"/>
    </row>
    <row r="123" spans="1:38" ht="54.95" hidden="1" customHeight="1">
      <c r="A123" s="288" t="s">
        <v>15</v>
      </c>
      <c r="B123" s="288" t="s">
        <v>21</v>
      </c>
      <c r="C123" s="288" t="s">
        <v>145</v>
      </c>
      <c r="D123" s="288" t="s">
        <v>123</v>
      </c>
      <c r="E123" s="289" t="s">
        <v>677</v>
      </c>
      <c r="F123" s="289" t="s">
        <v>157</v>
      </c>
      <c r="G123" s="288" t="s">
        <v>483</v>
      </c>
      <c r="H123" s="288" t="s">
        <v>764</v>
      </c>
      <c r="I123" s="290"/>
      <c r="J123" s="290"/>
      <c r="K123" s="290"/>
      <c r="L123" s="388">
        <v>43725</v>
      </c>
      <c r="M123" s="372">
        <v>43816</v>
      </c>
      <c r="N123" s="372"/>
      <c r="O123" s="388">
        <f>60</f>
        <v>60</v>
      </c>
      <c r="P123" s="373"/>
      <c r="Q123" s="374" t="str">
        <f ca="1">IF(P123&gt;=TODAY()-5,IF(P123&lt;TODAY()+6,"Пора отправлять","Еще рано"),"Уже не актуально")</f>
        <v>Уже не актуально</v>
      </c>
      <c r="R123" s="375" t="s">
        <v>11</v>
      </c>
      <c r="S123" s="376"/>
      <c r="T123" s="376"/>
      <c r="U123" s="376">
        <v>43784</v>
      </c>
      <c r="V123" s="374" t="s">
        <v>816</v>
      </c>
      <c r="W123" s="376">
        <v>43784</v>
      </c>
      <c r="X123" s="376" t="s">
        <v>177</v>
      </c>
      <c r="Y123" s="376" t="s">
        <v>177</v>
      </c>
      <c r="Z123" s="376"/>
      <c r="AA123" s="376"/>
      <c r="AB123" s="385">
        <v>43789</v>
      </c>
      <c r="AC123" s="250" t="str">
        <f ca="1">IF(AB123&lt;TODAY()-5,IF(AB123="","Еще рано","Уже не актуально"),IF(AB123&gt;TODAY()-2,"Еще рано","Пора отправлять"))</f>
        <v>Уже не актуально</v>
      </c>
      <c r="AD123" s="251">
        <f t="shared" si="27"/>
        <v>-27</v>
      </c>
      <c r="AE123" s="234"/>
      <c r="AF123" s="255"/>
      <c r="AG123" s="237"/>
      <c r="AH123" s="236"/>
      <c r="AK123" s="255" t="s">
        <v>315</v>
      </c>
      <c r="AL123" s="226"/>
    </row>
    <row r="124" spans="1:38" ht="54.95" hidden="1" customHeight="1">
      <c r="A124" s="288" t="s">
        <v>15</v>
      </c>
      <c r="B124" s="288" t="s">
        <v>21</v>
      </c>
      <c r="C124" s="288" t="s">
        <v>145</v>
      </c>
      <c r="D124" s="288" t="s">
        <v>123</v>
      </c>
      <c r="E124" s="289" t="s">
        <v>677</v>
      </c>
      <c r="F124" s="289" t="s">
        <v>157</v>
      </c>
      <c r="G124" s="288" t="s">
        <v>483</v>
      </c>
      <c r="H124" s="288" t="s">
        <v>779</v>
      </c>
      <c r="I124" s="290"/>
      <c r="J124" s="290"/>
      <c r="K124" s="290"/>
      <c r="L124" s="388">
        <v>43732</v>
      </c>
      <c r="M124" s="372">
        <v>43823</v>
      </c>
      <c r="N124" s="372"/>
      <c r="O124" s="388">
        <f>60</f>
        <v>60</v>
      </c>
      <c r="P124" s="373"/>
      <c r="Q124" s="374" t="str">
        <f ca="1">IF(P124&gt;=TODAY()-5,IF(P124&lt;TODAY()+6,"Пора отправлять","Еще рано"),"Уже не актуально")</f>
        <v>Уже не актуально</v>
      </c>
      <c r="R124" s="375" t="s">
        <v>11</v>
      </c>
      <c r="S124" s="376"/>
      <c r="T124" s="376"/>
      <c r="U124" s="376">
        <v>43799</v>
      </c>
      <c r="V124" s="374" t="s">
        <v>821</v>
      </c>
      <c r="W124" s="376">
        <v>43799</v>
      </c>
      <c r="X124" s="376" t="s">
        <v>177</v>
      </c>
      <c r="Y124" s="376" t="s">
        <v>177</v>
      </c>
      <c r="Z124" s="376"/>
      <c r="AA124" s="376"/>
      <c r="AB124" s="385">
        <v>43802</v>
      </c>
      <c r="AC124" s="250" t="str">
        <f ca="1">IF(AB124&lt;TODAY()-5,IF(AB124="","Еще рано","Уже не актуально"),IF(AB124&gt;TODAY()-2,"Еще рано","Пора отправлять"))</f>
        <v>Уже не актуально</v>
      </c>
      <c r="AD124" s="251">
        <f t="shared" si="27"/>
        <v>-21</v>
      </c>
      <c r="AE124" s="234"/>
      <c r="AF124" s="255"/>
      <c r="AG124" s="237"/>
      <c r="AH124" s="236"/>
      <c r="AK124" s="255" t="s">
        <v>315</v>
      </c>
      <c r="AL124" s="228"/>
    </row>
    <row r="125" spans="1:38" ht="54.95" customHeight="1">
      <c r="A125" s="288" t="s">
        <v>15</v>
      </c>
      <c r="B125" s="288" t="s">
        <v>21</v>
      </c>
      <c r="C125" s="288" t="s">
        <v>145</v>
      </c>
      <c r="D125" s="288" t="s">
        <v>123</v>
      </c>
      <c r="E125" s="289" t="s">
        <v>677</v>
      </c>
      <c r="F125" s="289" t="s">
        <v>157</v>
      </c>
      <c r="G125" s="288" t="s">
        <v>483</v>
      </c>
      <c r="H125" s="288" t="s">
        <v>792</v>
      </c>
      <c r="I125" s="290"/>
      <c r="J125" s="290"/>
      <c r="K125" s="290"/>
      <c r="L125" s="388">
        <v>43749</v>
      </c>
      <c r="M125" s="372">
        <v>43829</v>
      </c>
      <c r="N125" s="372"/>
      <c r="O125" s="388">
        <f>60</f>
        <v>60</v>
      </c>
      <c r="P125" s="373"/>
      <c r="Q125" s="374" t="str">
        <f ca="1">IF(P125&gt;=TODAY()-5,IF(P125&lt;TODAY()+6,"Пора отправлять","Еще рано"),"Уже не актуально")</f>
        <v>Уже не актуально</v>
      </c>
      <c r="R125" s="375" t="s">
        <v>11</v>
      </c>
      <c r="S125" s="376"/>
      <c r="T125" s="376"/>
      <c r="U125" s="376">
        <f>M125</f>
        <v>43829</v>
      </c>
      <c r="V125" s="374" t="s">
        <v>203</v>
      </c>
      <c r="W125" s="376">
        <v>43814</v>
      </c>
      <c r="X125" s="376" t="s">
        <v>177</v>
      </c>
      <c r="Y125" s="376" t="s">
        <v>177</v>
      </c>
      <c r="Z125" s="376"/>
      <c r="AA125" s="376"/>
      <c r="AB125" s="385">
        <v>43815</v>
      </c>
      <c r="AC125" s="250" t="str">
        <f ca="1">IF(AB125&lt;TODAY()-5,IF(AB125="","Еще рано","Уже не актуально"),IF(AB125&gt;TODAY()-2,"Еще рано","Пора отправлять"))</f>
        <v>Уже не актуально</v>
      </c>
      <c r="AD125" s="251">
        <f t="shared" si="27"/>
        <v>-14</v>
      </c>
      <c r="AE125" s="234"/>
      <c r="AF125" s="255"/>
      <c r="AG125" s="237"/>
      <c r="AH125" s="236"/>
      <c r="AK125" s="255" t="s">
        <v>315</v>
      </c>
      <c r="AL125" s="228"/>
    </row>
    <row r="126" spans="1:38" ht="54.95" customHeight="1">
      <c r="A126" s="288" t="s">
        <v>15</v>
      </c>
      <c r="B126" s="288" t="s">
        <v>21</v>
      </c>
      <c r="C126" s="288" t="s">
        <v>145</v>
      </c>
      <c r="D126" s="288" t="s">
        <v>123</v>
      </c>
      <c r="E126" s="289" t="s">
        <v>677</v>
      </c>
      <c r="F126" s="289" t="s">
        <v>157</v>
      </c>
      <c r="G126" s="288" t="s">
        <v>483</v>
      </c>
      <c r="H126" s="288" t="s">
        <v>793</v>
      </c>
      <c r="I126" s="290"/>
      <c r="J126" s="290"/>
      <c r="K126" s="290"/>
      <c r="L126" s="388">
        <v>43762</v>
      </c>
      <c r="M126" s="372">
        <v>43854</v>
      </c>
      <c r="N126" s="372"/>
      <c r="O126" s="388">
        <f>60</f>
        <v>60</v>
      </c>
      <c r="P126" s="373"/>
      <c r="Q126" s="374" t="str">
        <f ca="1">IF(P126&gt;=TODAY()-5,IF(P126&lt;TODAY()+6,"Пора отправлять","Еще рано"),"Уже не актуально")</f>
        <v>Уже не актуально</v>
      </c>
      <c r="R126" s="375" t="s">
        <v>11</v>
      </c>
      <c r="S126" s="376"/>
      <c r="T126" s="376"/>
      <c r="U126" s="376">
        <f>M126</f>
        <v>43854</v>
      </c>
      <c r="V126" s="374" t="s">
        <v>203</v>
      </c>
      <c r="W126" s="376">
        <v>43814</v>
      </c>
      <c r="X126" s="376" t="s">
        <v>177</v>
      </c>
      <c r="Y126" s="376" t="s">
        <v>177</v>
      </c>
      <c r="Z126" s="376"/>
      <c r="AA126" s="376"/>
      <c r="AB126" s="385">
        <v>43815</v>
      </c>
      <c r="AC126" s="250" t="str">
        <f ca="1">IF(AB126&lt;TODAY()-5,IF(AB126="","Еще рано","Уже не актуально"),IF(AB126&gt;TODAY()-2,"Еще рано","Пора отправлять"))</f>
        <v>Уже не актуально</v>
      </c>
      <c r="AD126" s="251">
        <f t="shared" si="27"/>
        <v>-39</v>
      </c>
      <c r="AE126" s="234"/>
      <c r="AF126" s="255"/>
      <c r="AG126" s="237"/>
      <c r="AH126" s="236"/>
      <c r="AK126" s="255" t="s">
        <v>315</v>
      </c>
      <c r="AL126" s="229"/>
    </row>
    <row r="127" spans="1:38" ht="54.95" customHeight="1">
      <c r="A127" s="288" t="s">
        <v>15</v>
      </c>
      <c r="B127" s="288" t="s">
        <v>21</v>
      </c>
      <c r="C127" s="288" t="s">
        <v>145</v>
      </c>
      <c r="D127" s="288" t="s">
        <v>123</v>
      </c>
      <c r="E127" s="289" t="s">
        <v>677</v>
      </c>
      <c r="F127" s="289" t="s">
        <v>157</v>
      </c>
      <c r="G127" s="288" t="s">
        <v>483</v>
      </c>
      <c r="H127" s="288" t="s">
        <v>841</v>
      </c>
      <c r="I127" s="290"/>
      <c r="J127" s="290"/>
      <c r="K127" s="290"/>
      <c r="L127" s="388">
        <v>43810</v>
      </c>
      <c r="M127" s="372">
        <v>43920</v>
      </c>
      <c r="N127" s="372"/>
      <c r="O127" s="388">
        <f>60</f>
        <v>60</v>
      </c>
      <c r="P127" s="373"/>
      <c r="Q127" s="374" t="str">
        <f t="shared" ca="1" si="23"/>
        <v>Уже не актуально</v>
      </c>
      <c r="R127" s="375" t="s">
        <v>11</v>
      </c>
      <c r="S127" s="376"/>
      <c r="T127" s="376"/>
      <c r="U127" s="376">
        <f>M127</f>
        <v>43920</v>
      </c>
      <c r="V127" s="374" t="s">
        <v>203</v>
      </c>
      <c r="W127" s="376"/>
      <c r="X127" s="376" t="s">
        <v>177</v>
      </c>
      <c r="Y127" s="376" t="s">
        <v>177</v>
      </c>
      <c r="Z127" s="376"/>
      <c r="AA127" s="376"/>
      <c r="AB127" s="385">
        <v>43909</v>
      </c>
      <c r="AC127" s="250" t="str">
        <f t="shared" ca="1" si="26"/>
        <v>Уже не актуально</v>
      </c>
      <c r="AD127" s="251">
        <f t="shared" si="27"/>
        <v>-11</v>
      </c>
      <c r="AE127" s="234"/>
      <c r="AF127" s="255"/>
      <c r="AG127" s="237"/>
      <c r="AH127" s="236"/>
      <c r="AK127" s="255" t="s">
        <v>315</v>
      </c>
      <c r="AL127" s="218"/>
    </row>
    <row r="128" spans="1:38" ht="54.95" customHeight="1">
      <c r="A128" s="288" t="s">
        <v>15</v>
      </c>
      <c r="B128" s="288" t="s">
        <v>21</v>
      </c>
      <c r="C128" s="288" t="s">
        <v>145</v>
      </c>
      <c r="D128" s="288" t="s">
        <v>123</v>
      </c>
      <c r="E128" s="289" t="s">
        <v>677</v>
      </c>
      <c r="F128" s="289" t="s">
        <v>157</v>
      </c>
      <c r="G128" s="288" t="s">
        <v>483</v>
      </c>
      <c r="H128" s="288" t="s">
        <v>885</v>
      </c>
      <c r="I128" s="290"/>
      <c r="J128" s="290"/>
      <c r="K128" s="290"/>
      <c r="L128" s="388"/>
      <c r="M128" s="372"/>
      <c r="N128" s="372"/>
      <c r="O128" s="388"/>
      <c r="P128" s="373"/>
      <c r="Q128" s="374"/>
      <c r="R128" s="375"/>
      <c r="S128" s="376"/>
      <c r="T128" s="376"/>
      <c r="U128" s="376">
        <v>43928</v>
      </c>
      <c r="V128" s="374"/>
      <c r="W128" s="376"/>
      <c r="X128" s="376"/>
      <c r="Y128" s="376"/>
      <c r="Z128" s="376"/>
      <c r="AA128" s="376"/>
      <c r="AB128" s="385"/>
      <c r="AC128" s="250"/>
      <c r="AD128" s="251"/>
      <c r="AE128" s="234"/>
      <c r="AF128" s="255"/>
      <c r="AG128" s="237"/>
      <c r="AH128" s="236"/>
      <c r="AK128" s="255"/>
      <c r="AL128" s="231"/>
    </row>
    <row r="129" spans="1:38" ht="54.95" customHeight="1">
      <c r="A129" s="288" t="s">
        <v>15</v>
      </c>
      <c r="B129" s="288" t="s">
        <v>21</v>
      </c>
      <c r="C129" s="288" t="s">
        <v>145</v>
      </c>
      <c r="D129" s="288" t="s">
        <v>123</v>
      </c>
      <c r="E129" s="289" t="s">
        <v>677</v>
      </c>
      <c r="F129" s="289" t="s">
        <v>157</v>
      </c>
      <c r="G129" s="288" t="s">
        <v>483</v>
      </c>
      <c r="H129" s="288" t="s">
        <v>886</v>
      </c>
      <c r="I129" s="290"/>
      <c r="J129" s="290"/>
      <c r="K129" s="290"/>
      <c r="L129" s="388">
        <v>43876</v>
      </c>
      <c r="M129" s="372"/>
      <c r="N129" s="372"/>
      <c r="O129" s="388"/>
      <c r="P129" s="373"/>
      <c r="Q129" s="374"/>
      <c r="R129" s="375"/>
      <c r="S129" s="376"/>
      <c r="T129" s="376"/>
      <c r="U129" s="376">
        <v>43951</v>
      </c>
      <c r="V129" s="374"/>
      <c r="W129" s="376"/>
      <c r="X129" s="376"/>
      <c r="Y129" s="376"/>
      <c r="Z129" s="376"/>
      <c r="AA129" s="376"/>
      <c r="AB129" s="385"/>
      <c r="AC129" s="250"/>
      <c r="AD129" s="251"/>
      <c r="AE129" s="234"/>
      <c r="AF129" s="255"/>
      <c r="AG129" s="237"/>
      <c r="AH129" s="236"/>
      <c r="AK129" s="255"/>
      <c r="AL129" s="231"/>
    </row>
    <row r="130" spans="1:38" ht="54.95" customHeight="1">
      <c r="A130" s="288" t="s">
        <v>15</v>
      </c>
      <c r="B130" s="288" t="s">
        <v>21</v>
      </c>
      <c r="C130" s="288" t="s">
        <v>145</v>
      </c>
      <c r="D130" s="288" t="s">
        <v>123</v>
      </c>
      <c r="E130" s="289" t="s">
        <v>677</v>
      </c>
      <c r="F130" s="289" t="s">
        <v>157</v>
      </c>
      <c r="G130" s="288" t="s">
        <v>483</v>
      </c>
      <c r="H130" s="288" t="s">
        <v>887</v>
      </c>
      <c r="I130" s="290"/>
      <c r="J130" s="290"/>
      <c r="K130" s="290"/>
      <c r="L130" s="388">
        <v>43879</v>
      </c>
      <c r="M130" s="372"/>
      <c r="N130" s="372"/>
      <c r="O130" s="388"/>
      <c r="P130" s="373"/>
      <c r="Q130" s="374"/>
      <c r="R130" s="375"/>
      <c r="S130" s="376"/>
      <c r="T130" s="376"/>
      <c r="U130" s="376">
        <v>43966</v>
      </c>
      <c r="V130" s="374"/>
      <c r="W130" s="376"/>
      <c r="X130" s="376"/>
      <c r="Y130" s="376"/>
      <c r="Z130" s="376"/>
      <c r="AA130" s="376"/>
      <c r="AB130" s="385"/>
      <c r="AC130" s="250"/>
      <c r="AD130" s="251"/>
      <c r="AE130" s="234"/>
      <c r="AF130" s="255"/>
      <c r="AG130" s="237"/>
      <c r="AH130" s="236"/>
      <c r="AK130" s="255"/>
      <c r="AL130" s="231"/>
    </row>
    <row r="131" spans="1:38" ht="54.95" customHeight="1">
      <c r="A131" s="293" t="s">
        <v>15</v>
      </c>
      <c r="B131" s="293" t="s">
        <v>22</v>
      </c>
      <c r="C131" s="293" t="s">
        <v>146</v>
      </c>
      <c r="D131" s="293" t="s">
        <v>122</v>
      </c>
      <c r="E131" s="294" t="s">
        <v>127</v>
      </c>
      <c r="F131" s="294"/>
      <c r="G131" s="295" t="s">
        <v>4</v>
      </c>
      <c r="H131" s="293" t="s">
        <v>29</v>
      </c>
      <c r="I131" s="295" t="s">
        <v>25</v>
      </c>
      <c r="J131" s="295" t="s">
        <v>25</v>
      </c>
      <c r="K131" s="295"/>
      <c r="L131" s="389">
        <v>42923</v>
      </c>
      <c r="M131" s="372">
        <v>42993</v>
      </c>
      <c r="N131" s="376" t="s">
        <v>32</v>
      </c>
      <c r="O131" s="389">
        <v>30</v>
      </c>
      <c r="P131" s="373">
        <f t="shared" ref="P131:P175" si="28">M131-O131</f>
        <v>42963</v>
      </c>
      <c r="Q131" s="374" t="str">
        <f t="shared" ca="1" si="23"/>
        <v>Уже не актуально</v>
      </c>
      <c r="R131" s="375">
        <v>43017</v>
      </c>
      <c r="S131" s="376" t="s">
        <v>196</v>
      </c>
      <c r="T131" s="376"/>
      <c r="U131" s="372">
        <v>43049</v>
      </c>
      <c r="V131" s="374" t="str">
        <f ca="1">IF(U131&gt;TODAY(),IF(U131&lt;TODAY()+17,"Пора отправлять","Еще рано"),"Уже не актуально")</f>
        <v>Уже не актуально</v>
      </c>
      <c r="W131" s="372">
        <v>43047</v>
      </c>
      <c r="X131" s="376">
        <v>43059</v>
      </c>
      <c r="Y131" s="372" t="s">
        <v>111</v>
      </c>
      <c r="Z131" s="376">
        <v>43053</v>
      </c>
      <c r="AA131" s="376">
        <v>43062</v>
      </c>
      <c r="AB131" s="377">
        <v>43065</v>
      </c>
      <c r="AC131" s="250" t="str">
        <f t="shared" ca="1" si="26"/>
        <v>Уже не актуально</v>
      </c>
      <c r="AD131" s="251">
        <f t="shared" ref="AD131:AD228" si="29">AB131-M131</f>
        <v>72</v>
      </c>
      <c r="AE131" s="234" t="s">
        <v>64</v>
      </c>
      <c r="AF131" s="234" t="s">
        <v>166</v>
      </c>
      <c r="AG131" s="237"/>
      <c r="AH131" s="236"/>
      <c r="AK131" s="255" t="s">
        <v>315</v>
      </c>
      <c r="AL131" s="40"/>
    </row>
    <row r="132" spans="1:38" ht="54.95" hidden="1" customHeight="1">
      <c r="A132" s="293" t="s">
        <v>15</v>
      </c>
      <c r="B132" s="293" t="s">
        <v>22</v>
      </c>
      <c r="C132" s="293" t="s">
        <v>146</v>
      </c>
      <c r="D132" s="293" t="s">
        <v>122</v>
      </c>
      <c r="E132" s="294" t="s">
        <v>127</v>
      </c>
      <c r="F132" s="294"/>
      <c r="G132" s="295" t="s">
        <v>4</v>
      </c>
      <c r="H132" s="293" t="s">
        <v>30</v>
      </c>
      <c r="I132" s="295" t="s">
        <v>25</v>
      </c>
      <c r="J132" s="295" t="s">
        <v>25</v>
      </c>
      <c r="K132" s="295"/>
      <c r="L132" s="389" t="s">
        <v>28</v>
      </c>
      <c r="M132" s="372">
        <v>43008</v>
      </c>
      <c r="N132" s="376" t="s">
        <v>33</v>
      </c>
      <c r="O132" s="389">
        <v>30</v>
      </c>
      <c r="P132" s="373">
        <f t="shared" si="28"/>
        <v>42978</v>
      </c>
      <c r="Q132" s="374" t="str">
        <f t="shared" ca="1" si="23"/>
        <v>Уже не актуально</v>
      </c>
      <c r="R132" s="375">
        <v>43017</v>
      </c>
      <c r="S132" s="376"/>
      <c r="T132" s="376"/>
      <c r="U132" s="372">
        <v>43049</v>
      </c>
      <c r="V132" s="374" t="str">
        <f ca="1">IF(U132&gt;TODAY(),IF(U132&lt;TODAY()+17,"Пора отправлять","Еще рано"),"Уже не актуально")</f>
        <v>Уже не актуально</v>
      </c>
      <c r="W132" s="372" t="s">
        <v>102</v>
      </c>
      <c r="X132" s="376">
        <v>43059</v>
      </c>
      <c r="Y132" s="372" t="s">
        <v>111</v>
      </c>
      <c r="Z132" s="376">
        <v>43053</v>
      </c>
      <c r="AA132" s="376">
        <v>43062</v>
      </c>
      <c r="AB132" s="377">
        <v>43065</v>
      </c>
      <c r="AC132" s="250" t="str">
        <f t="shared" ca="1" si="26"/>
        <v>Уже не актуально</v>
      </c>
      <c r="AD132" s="251">
        <f t="shared" si="29"/>
        <v>57</v>
      </c>
      <c r="AE132" s="234"/>
      <c r="AF132" s="234" t="s">
        <v>166</v>
      </c>
      <c r="AG132" s="237"/>
      <c r="AH132" s="236"/>
      <c r="AK132" s="255" t="s">
        <v>315</v>
      </c>
      <c r="AL132" s="40"/>
    </row>
    <row r="133" spans="1:38" ht="54.95" hidden="1" customHeight="1">
      <c r="A133" s="293" t="s">
        <v>15</v>
      </c>
      <c r="B133" s="293" t="s">
        <v>22</v>
      </c>
      <c r="C133" s="293" t="s">
        <v>146</v>
      </c>
      <c r="D133" s="293" t="s">
        <v>122</v>
      </c>
      <c r="E133" s="294" t="s">
        <v>127</v>
      </c>
      <c r="F133" s="294"/>
      <c r="G133" s="295" t="s">
        <v>4</v>
      </c>
      <c r="H133" s="293" t="s">
        <v>87</v>
      </c>
      <c r="I133" s="295"/>
      <c r="J133" s="295"/>
      <c r="K133" s="295"/>
      <c r="L133" s="389" t="s">
        <v>93</v>
      </c>
      <c r="M133" s="372" t="e">
        <f>L133+90</f>
        <v>#VALUE!</v>
      </c>
      <c r="N133" s="376" t="s">
        <v>104</v>
      </c>
      <c r="O133" s="389">
        <v>30</v>
      </c>
      <c r="P133" s="373" t="e">
        <f t="shared" si="28"/>
        <v>#VALUE!</v>
      </c>
      <c r="Q133" s="374" t="s">
        <v>203</v>
      </c>
      <c r="R133" s="375" t="s">
        <v>11</v>
      </c>
      <c r="S133" s="376"/>
      <c r="T133" s="376"/>
      <c r="U133" s="372">
        <v>43091</v>
      </c>
      <c r="V133" s="374" t="s">
        <v>194</v>
      </c>
      <c r="W133" s="372">
        <v>43091</v>
      </c>
      <c r="X133" s="372">
        <v>43097</v>
      </c>
      <c r="Y133" s="372">
        <v>43097</v>
      </c>
      <c r="Z133" s="372">
        <v>43080</v>
      </c>
      <c r="AA133" s="372">
        <v>43082</v>
      </c>
      <c r="AB133" s="390">
        <v>43110</v>
      </c>
      <c r="AC133" s="250" t="s">
        <v>211</v>
      </c>
      <c r="AD133" s="251" t="e">
        <f t="shared" si="29"/>
        <v>#VALUE!</v>
      </c>
      <c r="AE133" s="234" t="s">
        <v>210</v>
      </c>
      <c r="AF133" s="234"/>
      <c r="AG133" s="237"/>
      <c r="AH133" s="236"/>
      <c r="AK133" s="255" t="s">
        <v>315</v>
      </c>
      <c r="AL133" s="40"/>
    </row>
    <row r="134" spans="1:38" ht="54.95" hidden="1" customHeight="1">
      <c r="A134" s="293" t="s">
        <v>15</v>
      </c>
      <c r="B134" s="293" t="s">
        <v>22</v>
      </c>
      <c r="C134" s="293" t="s">
        <v>146</v>
      </c>
      <c r="D134" s="293" t="s">
        <v>122</v>
      </c>
      <c r="E134" s="294" t="s">
        <v>127</v>
      </c>
      <c r="F134" s="294"/>
      <c r="G134" s="295" t="s">
        <v>4</v>
      </c>
      <c r="H134" s="293" t="s">
        <v>88</v>
      </c>
      <c r="I134" s="295"/>
      <c r="J134" s="295"/>
      <c r="K134" s="295"/>
      <c r="L134" s="389" t="s">
        <v>93</v>
      </c>
      <c r="M134" s="372" t="e">
        <f>L134+90</f>
        <v>#VALUE!</v>
      </c>
      <c r="N134" s="376">
        <v>43055</v>
      </c>
      <c r="O134" s="389">
        <v>30</v>
      </c>
      <c r="P134" s="373" t="e">
        <f t="shared" si="28"/>
        <v>#VALUE!</v>
      </c>
      <c r="Q134" s="374" t="s">
        <v>202</v>
      </c>
      <c r="R134" s="375" t="s">
        <v>11</v>
      </c>
      <c r="S134" s="372"/>
      <c r="T134" s="372"/>
      <c r="U134" s="372">
        <v>43128</v>
      </c>
      <c r="V134" s="374" t="s">
        <v>211</v>
      </c>
      <c r="W134" s="372">
        <v>43128</v>
      </c>
      <c r="X134" s="372" t="s">
        <v>177</v>
      </c>
      <c r="Y134" s="372" t="s">
        <v>177</v>
      </c>
      <c r="Z134" s="372">
        <v>43110</v>
      </c>
      <c r="AA134" s="372">
        <v>43111</v>
      </c>
      <c r="AB134" s="372">
        <v>43137</v>
      </c>
      <c r="AC134" s="250" t="str">
        <f ca="1">IF(AB134&lt;TODAY()-5,IF(AB134="","Еще рано","Уже не актуально"),IF(AB134&gt;TODAY()-2,"Еще рано","Пора отправлять"))</f>
        <v>Уже не актуально</v>
      </c>
      <c r="AD134" s="251" t="e">
        <f t="shared" si="29"/>
        <v>#VALUE!</v>
      </c>
      <c r="AE134" s="252" t="s">
        <v>229</v>
      </c>
      <c r="AF134" s="234"/>
      <c r="AG134" s="237"/>
      <c r="AH134" s="236"/>
      <c r="AK134" s="255" t="s">
        <v>315</v>
      </c>
      <c r="AL134" s="40"/>
    </row>
    <row r="135" spans="1:38" ht="54.95" hidden="1" customHeight="1">
      <c r="A135" s="293" t="s">
        <v>15</v>
      </c>
      <c r="B135" s="293" t="s">
        <v>22</v>
      </c>
      <c r="C135" s="293" t="s">
        <v>146</v>
      </c>
      <c r="D135" s="293" t="s">
        <v>122</v>
      </c>
      <c r="E135" s="294" t="s">
        <v>127</v>
      </c>
      <c r="F135" s="294"/>
      <c r="G135" s="295" t="s">
        <v>4</v>
      </c>
      <c r="H135" s="293" t="s">
        <v>26</v>
      </c>
      <c r="I135" s="295"/>
      <c r="J135" s="295"/>
      <c r="K135" s="295"/>
      <c r="L135" s="389" t="s">
        <v>93</v>
      </c>
      <c r="M135" s="372" t="e">
        <f>L135+90</f>
        <v>#VALUE!</v>
      </c>
      <c r="N135" s="376">
        <v>43055</v>
      </c>
      <c r="O135" s="389">
        <v>30</v>
      </c>
      <c r="P135" s="373" t="e">
        <f t="shared" si="28"/>
        <v>#VALUE!</v>
      </c>
      <c r="Q135" s="374" t="s">
        <v>202</v>
      </c>
      <c r="R135" s="375" t="s">
        <v>11</v>
      </c>
      <c r="S135" s="372"/>
      <c r="T135" s="372"/>
      <c r="U135" s="372">
        <v>43128</v>
      </c>
      <c r="V135" s="374" t="s">
        <v>211</v>
      </c>
      <c r="W135" s="372">
        <v>43128</v>
      </c>
      <c r="X135" s="372" t="s">
        <v>177</v>
      </c>
      <c r="Y135" s="372" t="s">
        <v>177</v>
      </c>
      <c r="Z135" s="372">
        <v>43110</v>
      </c>
      <c r="AA135" s="372">
        <v>43111</v>
      </c>
      <c r="AB135" s="372">
        <v>43137</v>
      </c>
      <c r="AC135" s="250" t="str">
        <f ca="1">IF(AB135&lt;TODAY()-5,IF(AB135="","Еще рано","Уже не актуально"),IF(AB135&gt;TODAY()-2,"Еще рано","Пора отправлять"))</f>
        <v>Уже не актуально</v>
      </c>
      <c r="AD135" s="251" t="e">
        <f t="shared" si="29"/>
        <v>#VALUE!</v>
      </c>
      <c r="AE135" s="252" t="s">
        <v>229</v>
      </c>
      <c r="AF135" s="234"/>
      <c r="AG135" s="237"/>
      <c r="AH135" s="236"/>
      <c r="AK135" s="255" t="s">
        <v>315</v>
      </c>
      <c r="AL135" s="40"/>
    </row>
    <row r="136" spans="1:38" ht="54" hidden="1" customHeight="1">
      <c r="A136" s="293" t="s">
        <v>15</v>
      </c>
      <c r="B136" s="293" t="s">
        <v>22</v>
      </c>
      <c r="C136" s="293" t="s">
        <v>146</v>
      </c>
      <c r="D136" s="293" t="s">
        <v>122</v>
      </c>
      <c r="E136" s="294" t="s">
        <v>127</v>
      </c>
      <c r="F136" s="294"/>
      <c r="G136" s="295" t="s">
        <v>4</v>
      </c>
      <c r="H136" s="293" t="s">
        <v>27</v>
      </c>
      <c r="I136" s="295"/>
      <c r="J136" s="295"/>
      <c r="K136" s="295"/>
      <c r="L136" s="389" t="s">
        <v>94</v>
      </c>
      <c r="M136" s="372" t="e">
        <f>L136+90</f>
        <v>#VALUE!</v>
      </c>
      <c r="N136" s="376">
        <v>43055</v>
      </c>
      <c r="O136" s="389">
        <v>30</v>
      </c>
      <c r="P136" s="373" t="e">
        <f t="shared" si="28"/>
        <v>#VALUE!</v>
      </c>
      <c r="Q136" s="374" t="s">
        <v>202</v>
      </c>
      <c r="R136" s="375" t="s">
        <v>11</v>
      </c>
      <c r="S136" s="372"/>
      <c r="T136" s="372"/>
      <c r="U136" s="372">
        <v>43128</v>
      </c>
      <c r="V136" s="374" t="s">
        <v>211</v>
      </c>
      <c r="W136" s="372">
        <v>43128</v>
      </c>
      <c r="X136" s="372" t="s">
        <v>177</v>
      </c>
      <c r="Y136" s="372" t="s">
        <v>177</v>
      </c>
      <c r="Z136" s="372">
        <v>43110</v>
      </c>
      <c r="AA136" s="372">
        <v>43111</v>
      </c>
      <c r="AB136" s="372">
        <v>43137</v>
      </c>
      <c r="AC136" s="250" t="str">
        <f ca="1">IF(AB136&lt;TODAY()-5,IF(AB136="","Еще рано","Уже не актуально"),IF(AB136&gt;TODAY()-2,"Еще рано","Пора отправлять"))</f>
        <v>Уже не актуально</v>
      </c>
      <c r="AD136" s="251" t="e">
        <f t="shared" si="29"/>
        <v>#VALUE!</v>
      </c>
      <c r="AE136" s="252" t="s">
        <v>229</v>
      </c>
      <c r="AF136" s="234"/>
      <c r="AG136" s="237"/>
      <c r="AH136" s="236"/>
      <c r="AK136" s="255" t="s">
        <v>315</v>
      </c>
      <c r="AL136" s="40"/>
    </row>
    <row r="137" spans="1:38" ht="51" hidden="1" customHeight="1">
      <c r="A137" s="293" t="s">
        <v>15</v>
      </c>
      <c r="B137" s="293" t="s">
        <v>22</v>
      </c>
      <c r="C137" s="293" t="s">
        <v>146</v>
      </c>
      <c r="D137" s="293" t="s">
        <v>122</v>
      </c>
      <c r="E137" s="294" t="s">
        <v>127</v>
      </c>
      <c r="F137" s="294"/>
      <c r="G137" s="295" t="s">
        <v>4</v>
      </c>
      <c r="H137" s="293" t="s">
        <v>135</v>
      </c>
      <c r="I137" s="295"/>
      <c r="J137" s="295"/>
      <c r="K137" s="295"/>
      <c r="L137" s="389">
        <v>43057</v>
      </c>
      <c r="M137" s="372">
        <f>L137+90</f>
        <v>43147</v>
      </c>
      <c r="N137" s="376">
        <v>43091</v>
      </c>
      <c r="O137" s="389">
        <v>30</v>
      </c>
      <c r="P137" s="373">
        <f t="shared" si="28"/>
        <v>43117</v>
      </c>
      <c r="Q137" s="374" t="s">
        <v>203</v>
      </c>
      <c r="R137" s="375" t="s">
        <v>11</v>
      </c>
      <c r="S137" s="372"/>
      <c r="T137" s="372"/>
      <c r="U137" s="372">
        <v>43179</v>
      </c>
      <c r="V137" s="374" t="s">
        <v>240</v>
      </c>
      <c r="W137" s="372">
        <v>43178</v>
      </c>
      <c r="X137" s="372">
        <v>43181</v>
      </c>
      <c r="Y137" s="372">
        <v>43182</v>
      </c>
      <c r="Z137" s="376" t="s">
        <v>111</v>
      </c>
      <c r="AA137" s="376" t="s">
        <v>111</v>
      </c>
      <c r="AB137" s="372">
        <v>43185</v>
      </c>
      <c r="AC137" s="250" t="s">
        <v>255</v>
      </c>
      <c r="AD137" s="251">
        <f t="shared" si="29"/>
        <v>38</v>
      </c>
      <c r="AE137" s="252"/>
      <c r="AF137" s="234"/>
      <c r="AG137" s="237"/>
      <c r="AH137" s="236"/>
      <c r="AK137" s="255" t="s">
        <v>315</v>
      </c>
      <c r="AL137" s="41"/>
    </row>
    <row r="138" spans="1:38" ht="51" hidden="1" customHeight="1">
      <c r="A138" s="293" t="s">
        <v>15</v>
      </c>
      <c r="B138" s="293" t="s">
        <v>22</v>
      </c>
      <c r="C138" s="293" t="s">
        <v>146</v>
      </c>
      <c r="D138" s="293" t="s">
        <v>122</v>
      </c>
      <c r="E138" s="294" t="s">
        <v>127</v>
      </c>
      <c r="F138" s="294"/>
      <c r="G138" s="295" t="s">
        <v>4</v>
      </c>
      <c r="H138" s="293" t="s">
        <v>256</v>
      </c>
      <c r="I138" s="295"/>
      <c r="J138" s="295"/>
      <c r="K138" s="295"/>
      <c r="L138" s="391">
        <v>43201</v>
      </c>
      <c r="M138" s="372">
        <v>43337</v>
      </c>
      <c r="N138" s="376" t="s">
        <v>314</v>
      </c>
      <c r="O138" s="389">
        <v>30</v>
      </c>
      <c r="P138" s="373">
        <f t="shared" si="28"/>
        <v>43307</v>
      </c>
      <c r="Q138" s="374" t="s">
        <v>203</v>
      </c>
      <c r="R138" s="375" t="s">
        <v>11</v>
      </c>
      <c r="S138" s="372"/>
      <c r="T138" s="372"/>
      <c r="U138" s="372">
        <f>M138</f>
        <v>43337</v>
      </c>
      <c r="V138" s="374" t="s">
        <v>358</v>
      </c>
      <c r="W138" s="372">
        <v>43339</v>
      </c>
      <c r="X138" s="376">
        <v>43346</v>
      </c>
      <c r="Y138" s="372">
        <v>43346</v>
      </c>
      <c r="Z138" s="376" t="s">
        <v>111</v>
      </c>
      <c r="AA138" s="376" t="s">
        <v>111</v>
      </c>
      <c r="AB138" s="372">
        <v>43347</v>
      </c>
      <c r="AC138" s="250" t="s">
        <v>372</v>
      </c>
      <c r="AD138" s="251">
        <f t="shared" si="29"/>
        <v>10</v>
      </c>
      <c r="AE138" s="252" t="s">
        <v>290</v>
      </c>
      <c r="AF138" s="255" t="s">
        <v>381</v>
      </c>
      <c r="AG138" s="237"/>
      <c r="AH138" s="236"/>
      <c r="AK138" s="255" t="s">
        <v>315</v>
      </c>
      <c r="AL138" s="111"/>
    </row>
    <row r="139" spans="1:38" ht="51" hidden="1" customHeight="1">
      <c r="A139" s="293" t="s">
        <v>15</v>
      </c>
      <c r="B139" s="293" t="s">
        <v>22</v>
      </c>
      <c r="C139" s="293" t="s">
        <v>146</v>
      </c>
      <c r="D139" s="293" t="s">
        <v>122</v>
      </c>
      <c r="E139" s="294" t="s">
        <v>447</v>
      </c>
      <c r="F139" s="294"/>
      <c r="G139" s="295" t="s">
        <v>4</v>
      </c>
      <c r="H139" s="293" t="s">
        <v>295</v>
      </c>
      <c r="I139" s="295"/>
      <c r="J139" s="295"/>
      <c r="K139" s="295">
        <v>66</v>
      </c>
      <c r="L139" s="391">
        <v>43249</v>
      </c>
      <c r="M139" s="372">
        <v>43314</v>
      </c>
      <c r="N139" s="376">
        <v>43271</v>
      </c>
      <c r="O139" s="389">
        <v>30</v>
      </c>
      <c r="P139" s="373">
        <f t="shared" si="28"/>
        <v>43284</v>
      </c>
      <c r="Q139" s="374" t="str">
        <f ca="1">IF(P139&gt;=TODAY()-5,IF(P139&lt;TODAY()+6,"Пора отправлять","Еще рано"),"Уже не актуально")</f>
        <v>Уже не актуально</v>
      </c>
      <c r="R139" s="375" t="s">
        <v>11</v>
      </c>
      <c r="S139" s="372"/>
      <c r="T139" s="372"/>
      <c r="U139" s="372">
        <v>43322</v>
      </c>
      <c r="V139" s="374" t="s">
        <v>328</v>
      </c>
      <c r="W139" s="372">
        <v>43321</v>
      </c>
      <c r="X139" s="376">
        <v>43335</v>
      </c>
      <c r="Y139" s="372" t="s">
        <v>111</v>
      </c>
      <c r="Z139" s="372">
        <v>43306</v>
      </c>
      <c r="AA139" s="372">
        <v>43311</v>
      </c>
      <c r="AB139" s="377">
        <v>43346</v>
      </c>
      <c r="AC139" s="250" t="s">
        <v>372</v>
      </c>
      <c r="AD139" s="251">
        <f t="shared" si="29"/>
        <v>32</v>
      </c>
      <c r="AE139" s="252" t="s">
        <v>367</v>
      </c>
      <c r="AF139" s="255" t="s">
        <v>380</v>
      </c>
      <c r="AG139" s="237"/>
      <c r="AH139" s="236"/>
      <c r="AK139" s="255" t="s">
        <v>315</v>
      </c>
      <c r="AL139" s="140"/>
    </row>
    <row r="140" spans="1:38" ht="51" hidden="1" customHeight="1">
      <c r="A140" s="293" t="s">
        <v>15</v>
      </c>
      <c r="B140" s="293" t="s">
        <v>22</v>
      </c>
      <c r="C140" s="293" t="s">
        <v>146</v>
      </c>
      <c r="D140" s="293" t="s">
        <v>122</v>
      </c>
      <c r="E140" s="294" t="s">
        <v>447</v>
      </c>
      <c r="F140" s="294"/>
      <c r="G140" s="295" t="s">
        <v>4</v>
      </c>
      <c r="H140" s="293" t="s">
        <v>353</v>
      </c>
      <c r="I140" s="295"/>
      <c r="J140" s="295"/>
      <c r="K140" s="295"/>
      <c r="L140" s="391">
        <v>43314</v>
      </c>
      <c r="M140" s="372">
        <v>43378</v>
      </c>
      <c r="N140" s="376">
        <v>43358</v>
      </c>
      <c r="O140" s="389">
        <v>30</v>
      </c>
      <c r="P140" s="373">
        <f t="shared" si="28"/>
        <v>43348</v>
      </c>
      <c r="Q140" s="374" t="str">
        <f ca="1">IF(P140&gt;=TODAY()-5,IF(P140&lt;TODAY()+6,"Пора отправлять","Еще рано"),"Уже не актуально")</f>
        <v>Уже не актуально</v>
      </c>
      <c r="R140" s="375" t="s">
        <v>11</v>
      </c>
      <c r="S140" s="372"/>
      <c r="T140" s="372"/>
      <c r="U140" s="372">
        <v>43398</v>
      </c>
      <c r="V140" s="374" t="s">
        <v>444</v>
      </c>
      <c r="W140" s="372">
        <v>43398</v>
      </c>
      <c r="X140" s="376">
        <v>43401</v>
      </c>
      <c r="Y140" s="372">
        <v>43403</v>
      </c>
      <c r="Z140" s="376" t="s">
        <v>111</v>
      </c>
      <c r="AA140" s="376" t="s">
        <v>111</v>
      </c>
      <c r="AB140" s="377">
        <v>43404</v>
      </c>
      <c r="AC140" s="250" t="str">
        <f ca="1">IF(AB140&lt;TODAY()-5,IF(AB140="","Еще рано","Уже не актуально"),IF(AB140&gt;TODAY()-2,"Еще рано","Пора отправлять"))</f>
        <v>Уже не актуально</v>
      </c>
      <c r="AD140" s="251">
        <f t="shared" si="29"/>
        <v>26</v>
      </c>
      <c r="AE140" s="252"/>
      <c r="AF140" s="255" t="s">
        <v>379</v>
      </c>
      <c r="AG140" s="237"/>
      <c r="AH140" s="236"/>
      <c r="AK140" s="255" t="s">
        <v>315</v>
      </c>
      <c r="AL140" s="162"/>
    </row>
    <row r="141" spans="1:38" ht="51" hidden="1" customHeight="1">
      <c r="A141" s="293" t="s">
        <v>15</v>
      </c>
      <c r="B141" s="293" t="s">
        <v>22</v>
      </c>
      <c r="C141" s="293" t="s">
        <v>146</v>
      </c>
      <c r="D141" s="293" t="s">
        <v>122</v>
      </c>
      <c r="E141" s="294" t="s">
        <v>447</v>
      </c>
      <c r="F141" s="294"/>
      <c r="G141" s="295" t="s">
        <v>4</v>
      </c>
      <c r="H141" s="293" t="s">
        <v>378</v>
      </c>
      <c r="I141" s="295"/>
      <c r="J141" s="295"/>
      <c r="K141" s="295"/>
      <c r="L141" s="392">
        <v>43354</v>
      </c>
      <c r="M141" s="372">
        <v>43415</v>
      </c>
      <c r="N141" s="376" t="s">
        <v>228</v>
      </c>
      <c r="O141" s="389">
        <v>30</v>
      </c>
      <c r="P141" s="373">
        <f t="shared" si="28"/>
        <v>43385</v>
      </c>
      <c r="Q141" s="374" t="s">
        <v>440</v>
      </c>
      <c r="R141" s="375" t="s">
        <v>11</v>
      </c>
      <c r="S141" s="376" t="s">
        <v>196</v>
      </c>
      <c r="T141" s="372"/>
      <c r="U141" s="372">
        <v>43424</v>
      </c>
      <c r="V141" s="374" t="s">
        <v>472</v>
      </c>
      <c r="W141" s="376">
        <v>43425</v>
      </c>
      <c r="X141" s="376">
        <v>43425</v>
      </c>
      <c r="Y141" s="376">
        <v>43425</v>
      </c>
      <c r="Z141" s="376" t="s">
        <v>111</v>
      </c>
      <c r="AA141" s="376" t="s">
        <v>111</v>
      </c>
      <c r="AB141" s="377">
        <v>43432</v>
      </c>
      <c r="AC141" s="250" t="s">
        <v>478</v>
      </c>
      <c r="AD141" s="251">
        <f t="shared" si="29"/>
        <v>17</v>
      </c>
      <c r="AE141" s="252" t="s">
        <v>875</v>
      </c>
      <c r="AF141" s="255" t="s">
        <v>420</v>
      </c>
      <c r="AG141" s="237"/>
      <c r="AH141" s="236"/>
      <c r="AK141" s="255" t="s">
        <v>315</v>
      </c>
      <c r="AL141" s="156"/>
    </row>
    <row r="142" spans="1:38" ht="51" hidden="1" customHeight="1">
      <c r="A142" s="293" t="s">
        <v>15</v>
      </c>
      <c r="B142" s="293" t="s">
        <v>22</v>
      </c>
      <c r="C142" s="293" t="s">
        <v>146</v>
      </c>
      <c r="D142" s="293" t="s">
        <v>122</v>
      </c>
      <c r="E142" s="294" t="s">
        <v>447</v>
      </c>
      <c r="F142" s="294"/>
      <c r="G142" s="295" t="s">
        <v>4</v>
      </c>
      <c r="H142" s="293" t="s">
        <v>445</v>
      </c>
      <c r="I142" s="295"/>
      <c r="J142" s="295"/>
      <c r="K142" s="295"/>
      <c r="L142" s="392">
        <v>43378</v>
      </c>
      <c r="M142" s="372">
        <v>43470</v>
      </c>
      <c r="N142" s="376" t="s">
        <v>228</v>
      </c>
      <c r="O142" s="389">
        <f>O140</f>
        <v>30</v>
      </c>
      <c r="P142" s="373">
        <f>M142-O142</f>
        <v>43440</v>
      </c>
      <c r="Q142" s="374" t="s">
        <v>446</v>
      </c>
      <c r="R142" s="375" t="s">
        <v>11</v>
      </c>
      <c r="S142" s="372" t="s">
        <v>205</v>
      </c>
      <c r="T142" s="372"/>
      <c r="U142" s="372">
        <v>43483</v>
      </c>
      <c r="V142" s="374" t="s">
        <v>493</v>
      </c>
      <c r="W142" s="372">
        <v>43483</v>
      </c>
      <c r="X142" s="376">
        <v>43483</v>
      </c>
      <c r="Y142" s="372">
        <v>43530</v>
      </c>
      <c r="Z142" s="372">
        <v>43530</v>
      </c>
      <c r="AA142" s="376">
        <v>43530</v>
      </c>
      <c r="AB142" s="377">
        <v>43537</v>
      </c>
      <c r="AC142" s="250" t="s">
        <v>580</v>
      </c>
      <c r="AD142" s="251">
        <f>AB142-M142</f>
        <v>67</v>
      </c>
      <c r="AE142" s="252" t="s">
        <v>581</v>
      </c>
      <c r="AF142" s="255" t="s">
        <v>451</v>
      </c>
      <c r="AG142" s="237"/>
      <c r="AH142" s="236"/>
      <c r="AK142" s="255" t="s">
        <v>315</v>
      </c>
      <c r="AL142" s="183"/>
    </row>
    <row r="143" spans="1:38" ht="51" hidden="1" customHeight="1">
      <c r="A143" s="293" t="s">
        <v>15</v>
      </c>
      <c r="B143" s="293" t="s">
        <v>22</v>
      </c>
      <c r="C143" s="293" t="s">
        <v>146</v>
      </c>
      <c r="D143" s="293" t="s">
        <v>122</v>
      </c>
      <c r="E143" s="294" t="s">
        <v>447</v>
      </c>
      <c r="F143" s="294"/>
      <c r="G143" s="295" t="s">
        <v>4</v>
      </c>
      <c r="H143" s="293" t="s">
        <v>484</v>
      </c>
      <c r="I143" s="295"/>
      <c r="J143" s="295"/>
      <c r="K143" s="295"/>
      <c r="L143" s="392">
        <v>43431</v>
      </c>
      <c r="M143" s="372">
        <v>43516</v>
      </c>
      <c r="N143" s="376" t="s">
        <v>228</v>
      </c>
      <c r="O143" s="389">
        <f>O141</f>
        <v>30</v>
      </c>
      <c r="P143" s="373">
        <f t="shared" si="28"/>
        <v>43486</v>
      </c>
      <c r="Q143" s="374" t="str">
        <f t="shared" ref="Q143:Q150" ca="1" si="30">IF(P143&gt;=TODAY()-5,IF(P143&lt;TODAY()+6,"Пора отправлять","Еще рано"),"Уже не актуально")</f>
        <v>Уже не актуально</v>
      </c>
      <c r="R143" s="375" t="s">
        <v>11</v>
      </c>
      <c r="S143" s="372" t="s">
        <v>655</v>
      </c>
      <c r="T143" s="372"/>
      <c r="U143" s="372">
        <v>43483</v>
      </c>
      <c r="V143" s="374" t="s">
        <v>498</v>
      </c>
      <c r="W143" s="372">
        <v>43483</v>
      </c>
      <c r="X143" s="376">
        <v>43483</v>
      </c>
      <c r="Y143" s="372">
        <v>43530</v>
      </c>
      <c r="Z143" s="372">
        <v>43530</v>
      </c>
      <c r="AA143" s="376">
        <v>43530</v>
      </c>
      <c r="AB143" s="377">
        <v>43537</v>
      </c>
      <c r="AC143" s="250" t="s">
        <v>580</v>
      </c>
      <c r="AD143" s="251">
        <f t="shared" si="29"/>
        <v>21</v>
      </c>
      <c r="AE143" s="252" t="s">
        <v>581</v>
      </c>
      <c r="AF143" s="255" t="s">
        <v>485</v>
      </c>
      <c r="AG143" s="237"/>
      <c r="AH143" s="236"/>
      <c r="AK143" s="255" t="s">
        <v>315</v>
      </c>
      <c r="AL143" s="170"/>
    </row>
    <row r="144" spans="1:38" ht="51" hidden="1" customHeight="1">
      <c r="A144" s="293" t="s">
        <v>15</v>
      </c>
      <c r="B144" s="293" t="s">
        <v>22</v>
      </c>
      <c r="C144" s="293" t="s">
        <v>146</v>
      </c>
      <c r="D144" s="293" t="s">
        <v>122</v>
      </c>
      <c r="E144" s="294" t="s">
        <v>447</v>
      </c>
      <c r="F144" s="294"/>
      <c r="G144" s="294" t="s">
        <v>483</v>
      </c>
      <c r="H144" s="293" t="s">
        <v>160</v>
      </c>
      <c r="I144" s="295"/>
      <c r="J144" s="295"/>
      <c r="K144" s="295"/>
      <c r="L144" s="392">
        <v>43452</v>
      </c>
      <c r="M144" s="372">
        <v>43549</v>
      </c>
      <c r="N144" s="376" t="s">
        <v>228</v>
      </c>
      <c r="O144" s="389">
        <v>30</v>
      </c>
      <c r="P144" s="373">
        <f t="shared" si="28"/>
        <v>43519</v>
      </c>
      <c r="Q144" s="374" t="str">
        <f t="shared" ca="1" si="30"/>
        <v>Уже не актуально</v>
      </c>
      <c r="R144" s="375" t="s">
        <v>11</v>
      </c>
      <c r="S144" s="372" t="s">
        <v>655</v>
      </c>
      <c r="T144" s="372"/>
      <c r="U144" s="372">
        <v>43551</v>
      </c>
      <c r="V144" s="374" t="s">
        <v>591</v>
      </c>
      <c r="W144" s="372">
        <v>43551</v>
      </c>
      <c r="X144" s="376" t="s">
        <v>177</v>
      </c>
      <c r="Y144" s="376" t="s">
        <v>177</v>
      </c>
      <c r="Z144" s="372">
        <v>43544</v>
      </c>
      <c r="AA144" s="376" t="str">
        <f>IF(Z144="","Рано","Когда?")</f>
        <v>Когда?</v>
      </c>
      <c r="AB144" s="377">
        <v>43579</v>
      </c>
      <c r="AC144" s="250" t="s">
        <v>203</v>
      </c>
      <c r="AD144" s="251">
        <f t="shared" si="29"/>
        <v>30</v>
      </c>
      <c r="AE144" s="252" t="s">
        <v>648</v>
      </c>
      <c r="AF144" s="255" t="s">
        <v>590</v>
      </c>
      <c r="AG144" s="237"/>
      <c r="AH144" s="236"/>
      <c r="AK144" s="255" t="s">
        <v>315</v>
      </c>
      <c r="AL144" s="189"/>
    </row>
    <row r="145" spans="1:38" ht="51" hidden="1" customHeight="1">
      <c r="A145" s="293" t="s">
        <v>15</v>
      </c>
      <c r="B145" s="293" t="s">
        <v>22</v>
      </c>
      <c r="C145" s="293" t="s">
        <v>146</v>
      </c>
      <c r="D145" s="293" t="s">
        <v>122</v>
      </c>
      <c r="E145" s="294" t="s">
        <v>447</v>
      </c>
      <c r="F145" s="294"/>
      <c r="G145" s="294" t="s">
        <v>483</v>
      </c>
      <c r="H145" s="293" t="s">
        <v>582</v>
      </c>
      <c r="I145" s="295"/>
      <c r="J145" s="295"/>
      <c r="K145" s="295"/>
      <c r="L145" s="392">
        <v>43582</v>
      </c>
      <c r="M145" s="372">
        <v>43646</v>
      </c>
      <c r="N145" s="376"/>
      <c r="O145" s="389">
        <f>30</f>
        <v>30</v>
      </c>
      <c r="P145" s="373">
        <f t="shared" ref="P145:P150" si="31">M145-O145</f>
        <v>43616</v>
      </c>
      <c r="Q145" s="374" t="str">
        <f t="shared" ca="1" si="30"/>
        <v>Уже не актуально</v>
      </c>
      <c r="R145" s="375" t="s">
        <v>11</v>
      </c>
      <c r="S145" s="372" t="s">
        <v>655</v>
      </c>
      <c r="T145" s="372"/>
      <c r="U145" s="372">
        <f>M145</f>
        <v>43646</v>
      </c>
      <c r="V145" s="374" t="s">
        <v>687</v>
      </c>
      <c r="W145" s="372">
        <v>43646</v>
      </c>
      <c r="X145" s="376" t="s">
        <v>177</v>
      </c>
      <c r="Y145" s="376" t="s">
        <v>177</v>
      </c>
      <c r="Z145" s="372">
        <v>43545</v>
      </c>
      <c r="AA145" s="376" t="str">
        <f>IF(Z145="","Рано","Когда?")</f>
        <v>Когда?</v>
      </c>
      <c r="AB145" s="377">
        <v>43641</v>
      </c>
      <c r="AC145" s="250" t="str">
        <f t="shared" ref="AC145:AC150" ca="1" si="32">IF(AB145&lt;TODAY()-5,IF(AB145="","Еще рано","Уже не актуально"),IF(AB145&gt;TODAY()-2,"Еще рано","Пора отправлять"))</f>
        <v>Уже не актуально</v>
      </c>
      <c r="AD145" s="251">
        <f t="shared" ref="AD145:AD151" si="33">AB145-M145</f>
        <v>-5</v>
      </c>
      <c r="AE145" s="252" t="s">
        <v>646</v>
      </c>
      <c r="AF145" s="255" t="s">
        <v>650</v>
      </c>
      <c r="AG145" s="237"/>
      <c r="AH145" s="236"/>
      <c r="AK145" s="255" t="s">
        <v>315</v>
      </c>
      <c r="AL145" s="208"/>
    </row>
    <row r="146" spans="1:38" ht="51" hidden="1" customHeight="1">
      <c r="A146" s="293" t="s">
        <v>15</v>
      </c>
      <c r="B146" s="293" t="s">
        <v>22</v>
      </c>
      <c r="C146" s="293" t="s">
        <v>146</v>
      </c>
      <c r="D146" s="293" t="s">
        <v>122</v>
      </c>
      <c r="E146" s="294" t="s">
        <v>447</v>
      </c>
      <c r="F146" s="294"/>
      <c r="G146" s="294" t="s">
        <v>483</v>
      </c>
      <c r="H146" s="293" t="s">
        <v>693</v>
      </c>
      <c r="I146" s="295"/>
      <c r="J146" s="295"/>
      <c r="K146" s="295"/>
      <c r="L146" s="392">
        <v>43609</v>
      </c>
      <c r="M146" s="372">
        <v>43676</v>
      </c>
      <c r="N146" s="376"/>
      <c r="O146" s="389">
        <f>30</f>
        <v>30</v>
      </c>
      <c r="P146" s="373">
        <f t="shared" si="31"/>
        <v>43646</v>
      </c>
      <c r="Q146" s="374" t="str">
        <f t="shared" ca="1" si="30"/>
        <v>Уже не актуально</v>
      </c>
      <c r="R146" s="375" t="s">
        <v>66</v>
      </c>
      <c r="S146" s="372"/>
      <c r="T146" s="372"/>
      <c r="U146" s="372">
        <f>M146+45+3</f>
        <v>43724</v>
      </c>
      <c r="V146" s="374" t="s">
        <v>762</v>
      </c>
      <c r="W146" s="372">
        <v>43724</v>
      </c>
      <c r="X146" s="376" t="s">
        <v>177</v>
      </c>
      <c r="Y146" s="376" t="s">
        <v>177</v>
      </c>
      <c r="Z146" s="372"/>
      <c r="AA146" s="376"/>
      <c r="AB146" s="393">
        <v>43753</v>
      </c>
      <c r="AC146" s="250" t="str">
        <f t="shared" ca="1" si="32"/>
        <v>Уже не актуально</v>
      </c>
      <c r="AD146" s="251">
        <f t="shared" si="33"/>
        <v>77</v>
      </c>
      <c r="AE146" s="252" t="s">
        <v>771</v>
      </c>
      <c r="AF146" s="255"/>
      <c r="AG146" s="237"/>
      <c r="AH146" s="236"/>
      <c r="AK146" s="255" t="s">
        <v>315</v>
      </c>
      <c r="AL146" s="212"/>
    </row>
    <row r="147" spans="1:38" ht="51" hidden="1" customHeight="1">
      <c r="A147" s="293" t="s">
        <v>15</v>
      </c>
      <c r="B147" s="293" t="s">
        <v>22</v>
      </c>
      <c r="C147" s="293" t="s">
        <v>146</v>
      </c>
      <c r="D147" s="293" t="s">
        <v>122</v>
      </c>
      <c r="E147" s="294" t="s">
        <v>746</v>
      </c>
      <c r="F147" s="294"/>
      <c r="G147" s="294" t="s">
        <v>483</v>
      </c>
      <c r="H147" s="293" t="s">
        <v>34</v>
      </c>
      <c r="I147" s="295"/>
      <c r="J147" s="295"/>
      <c r="K147" s="295"/>
      <c r="L147" s="392">
        <v>43622</v>
      </c>
      <c r="M147" s="372">
        <v>43707</v>
      </c>
      <c r="N147" s="376"/>
      <c r="O147" s="389">
        <f>30</f>
        <v>30</v>
      </c>
      <c r="P147" s="373">
        <f t="shared" si="31"/>
        <v>43677</v>
      </c>
      <c r="Q147" s="374" t="str">
        <f t="shared" ca="1" si="30"/>
        <v>Уже не актуально</v>
      </c>
      <c r="R147" s="375" t="s">
        <v>66</v>
      </c>
      <c r="S147" s="372"/>
      <c r="T147" s="372"/>
      <c r="U147" s="372">
        <f>M147+5</f>
        <v>43712</v>
      </c>
      <c r="V147" s="374" t="s">
        <v>747</v>
      </c>
      <c r="W147" s="372">
        <v>43710</v>
      </c>
      <c r="X147" s="376" t="s">
        <v>177</v>
      </c>
      <c r="Y147" s="376" t="s">
        <v>177</v>
      </c>
      <c r="Z147" s="372"/>
      <c r="AA147" s="376"/>
      <c r="AB147" s="377">
        <v>43712</v>
      </c>
      <c r="AC147" s="250" t="str">
        <f t="shared" ca="1" si="32"/>
        <v>Уже не актуально</v>
      </c>
      <c r="AD147" s="251">
        <f t="shared" si="33"/>
        <v>5</v>
      </c>
      <c r="AE147" s="252"/>
      <c r="AF147" s="255"/>
      <c r="AG147" s="237"/>
      <c r="AH147" s="236"/>
      <c r="AK147" s="255" t="s">
        <v>315</v>
      </c>
      <c r="AL147" s="212"/>
    </row>
    <row r="148" spans="1:38" ht="51" hidden="1" customHeight="1">
      <c r="A148" s="293" t="s">
        <v>15</v>
      </c>
      <c r="B148" s="293" t="s">
        <v>22</v>
      </c>
      <c r="C148" s="293" t="s">
        <v>146</v>
      </c>
      <c r="D148" s="293" t="s">
        <v>122</v>
      </c>
      <c r="E148" s="294" t="s">
        <v>746</v>
      </c>
      <c r="F148" s="294"/>
      <c r="G148" s="294" t="s">
        <v>483</v>
      </c>
      <c r="H148" s="293" t="s">
        <v>35</v>
      </c>
      <c r="I148" s="295"/>
      <c r="J148" s="295"/>
      <c r="K148" s="295"/>
      <c r="L148" s="392">
        <v>43638</v>
      </c>
      <c r="M148" s="372">
        <v>43723</v>
      </c>
      <c r="N148" s="376"/>
      <c r="O148" s="389">
        <f>30</f>
        <v>30</v>
      </c>
      <c r="P148" s="373">
        <f t="shared" si="31"/>
        <v>43693</v>
      </c>
      <c r="Q148" s="374" t="str">
        <f t="shared" ca="1" si="30"/>
        <v>Уже не актуально</v>
      </c>
      <c r="R148" s="375" t="s">
        <v>11</v>
      </c>
      <c r="S148" s="372"/>
      <c r="T148" s="372"/>
      <c r="U148" s="372">
        <v>43736</v>
      </c>
      <c r="V148" s="374" t="s">
        <v>766</v>
      </c>
      <c r="W148" s="372">
        <v>43732</v>
      </c>
      <c r="X148" s="376" t="s">
        <v>780</v>
      </c>
      <c r="Y148" s="376">
        <v>43733</v>
      </c>
      <c r="Z148" s="372"/>
      <c r="AA148" s="376"/>
      <c r="AB148" s="377">
        <v>43737</v>
      </c>
      <c r="AC148" s="250" t="str">
        <f t="shared" ca="1" si="32"/>
        <v>Уже не актуально</v>
      </c>
      <c r="AD148" s="251">
        <f t="shared" si="33"/>
        <v>14</v>
      </c>
      <c r="AE148" s="252" t="s">
        <v>770</v>
      </c>
      <c r="AF148" s="255"/>
      <c r="AG148" s="237"/>
      <c r="AH148" s="236"/>
      <c r="AK148" s="255" t="s">
        <v>315</v>
      </c>
      <c r="AL148" s="218"/>
    </row>
    <row r="149" spans="1:38" ht="51" hidden="1" customHeight="1">
      <c r="A149" s="293" t="s">
        <v>15</v>
      </c>
      <c r="B149" s="293" t="s">
        <v>22</v>
      </c>
      <c r="C149" s="293" t="s">
        <v>146</v>
      </c>
      <c r="D149" s="293" t="s">
        <v>122</v>
      </c>
      <c r="E149" s="294" t="s">
        <v>746</v>
      </c>
      <c r="F149" s="294"/>
      <c r="G149" s="294" t="s">
        <v>483</v>
      </c>
      <c r="H149" s="293" t="s">
        <v>89</v>
      </c>
      <c r="I149" s="295"/>
      <c r="J149" s="295"/>
      <c r="K149" s="295"/>
      <c r="L149" s="392">
        <v>43669</v>
      </c>
      <c r="M149" s="372">
        <v>43763</v>
      </c>
      <c r="N149" s="376"/>
      <c r="O149" s="389">
        <f>30</f>
        <v>30</v>
      </c>
      <c r="P149" s="373">
        <f t="shared" si="31"/>
        <v>43733</v>
      </c>
      <c r="Q149" s="374" t="str">
        <f t="shared" ca="1" si="30"/>
        <v>Уже не актуально</v>
      </c>
      <c r="R149" s="375" t="s">
        <v>11</v>
      </c>
      <c r="S149" s="372"/>
      <c r="T149" s="372"/>
      <c r="U149" s="372">
        <f>M149+5</f>
        <v>43768</v>
      </c>
      <c r="V149" s="374" t="s">
        <v>791</v>
      </c>
      <c r="W149" s="372">
        <v>43768</v>
      </c>
      <c r="X149" s="376" t="s">
        <v>780</v>
      </c>
      <c r="Y149" s="376">
        <v>43768</v>
      </c>
      <c r="Z149" s="372"/>
      <c r="AA149" s="376"/>
      <c r="AB149" s="377">
        <v>43769</v>
      </c>
      <c r="AC149" s="250" t="str">
        <f t="shared" ca="1" si="32"/>
        <v>Уже не актуально</v>
      </c>
      <c r="AD149" s="251">
        <f t="shared" si="33"/>
        <v>6</v>
      </c>
      <c r="AE149" s="252"/>
      <c r="AF149" s="255"/>
      <c r="AG149" s="237"/>
      <c r="AH149" s="236"/>
      <c r="AK149" s="255" t="s">
        <v>315</v>
      </c>
      <c r="AL149" s="218"/>
    </row>
    <row r="150" spans="1:38" ht="51" hidden="1" customHeight="1">
      <c r="A150" s="293" t="s">
        <v>15</v>
      </c>
      <c r="B150" s="293" t="s">
        <v>22</v>
      </c>
      <c r="C150" s="293" t="s">
        <v>146</v>
      </c>
      <c r="D150" s="293" t="s">
        <v>122</v>
      </c>
      <c r="E150" s="294" t="s">
        <v>746</v>
      </c>
      <c r="F150" s="294"/>
      <c r="G150" s="294" t="s">
        <v>483</v>
      </c>
      <c r="H150" s="293" t="s">
        <v>90</v>
      </c>
      <c r="I150" s="295"/>
      <c r="J150" s="295"/>
      <c r="K150" s="295"/>
      <c r="L150" s="392">
        <v>43690</v>
      </c>
      <c r="M150" s="372">
        <v>43763</v>
      </c>
      <c r="N150" s="376"/>
      <c r="O150" s="389">
        <f>30</f>
        <v>30</v>
      </c>
      <c r="P150" s="373">
        <f t="shared" si="31"/>
        <v>43733</v>
      </c>
      <c r="Q150" s="374" t="str">
        <f t="shared" ca="1" si="30"/>
        <v>Уже не актуально</v>
      </c>
      <c r="R150" s="375" t="s">
        <v>11</v>
      </c>
      <c r="S150" s="372"/>
      <c r="T150" s="372"/>
      <c r="U150" s="372">
        <f>M150+5</f>
        <v>43768</v>
      </c>
      <c r="V150" s="374" t="s">
        <v>797</v>
      </c>
      <c r="W150" s="372">
        <v>43768</v>
      </c>
      <c r="X150" s="376" t="s">
        <v>780</v>
      </c>
      <c r="Y150" s="376">
        <v>43779</v>
      </c>
      <c r="Z150" s="372"/>
      <c r="AA150" s="376"/>
      <c r="AB150" s="377">
        <v>43782</v>
      </c>
      <c r="AC150" s="250" t="str">
        <f t="shared" ca="1" si="32"/>
        <v>Уже не актуально</v>
      </c>
      <c r="AD150" s="251">
        <f t="shared" si="33"/>
        <v>19</v>
      </c>
      <c r="AE150" s="252" t="s">
        <v>790</v>
      </c>
      <c r="AF150" s="255"/>
      <c r="AG150" s="237"/>
      <c r="AH150" s="236"/>
      <c r="AK150" s="255" t="s">
        <v>315</v>
      </c>
      <c r="AL150" s="220"/>
    </row>
    <row r="151" spans="1:38" ht="51" hidden="1" customHeight="1">
      <c r="A151" s="293" t="s">
        <v>15</v>
      </c>
      <c r="B151" s="293" t="s">
        <v>22</v>
      </c>
      <c r="C151" s="293" t="s">
        <v>146</v>
      </c>
      <c r="D151" s="293" t="s">
        <v>122</v>
      </c>
      <c r="E151" s="294" t="s">
        <v>823</v>
      </c>
      <c r="F151" s="294"/>
      <c r="G151" s="294" t="s">
        <v>483</v>
      </c>
      <c r="H151" s="293" t="s">
        <v>173</v>
      </c>
      <c r="I151" s="295"/>
      <c r="J151" s="295"/>
      <c r="K151" s="295"/>
      <c r="L151" s="392">
        <v>43728</v>
      </c>
      <c r="M151" s="372">
        <v>43794</v>
      </c>
      <c r="N151" s="376"/>
      <c r="O151" s="389"/>
      <c r="P151" s="373"/>
      <c r="Q151" s="374"/>
      <c r="R151" s="375"/>
      <c r="S151" s="372"/>
      <c r="T151" s="372"/>
      <c r="U151" s="372">
        <f>M151+5</f>
        <v>43799</v>
      </c>
      <c r="V151" s="374" t="s">
        <v>817</v>
      </c>
      <c r="W151" s="372">
        <v>43799</v>
      </c>
      <c r="X151" s="376" t="s">
        <v>780</v>
      </c>
      <c r="Y151" s="376">
        <v>43800</v>
      </c>
      <c r="Z151" s="372"/>
      <c r="AA151" s="376"/>
      <c r="AB151" s="377">
        <v>43803</v>
      </c>
      <c r="AC151" s="250" t="str">
        <f t="shared" ref="AC151:AC156" ca="1" si="34">IF(AB151&lt;TODAY()-5,IF(AB151="","Еще рано","Уже не актуально"),IF(AB151&gt;TODAY()-2,"Еще рано","Пора отправлять"))</f>
        <v>Уже не актуально</v>
      </c>
      <c r="AD151" s="251">
        <f t="shared" si="33"/>
        <v>9</v>
      </c>
      <c r="AE151" s="252"/>
      <c r="AF151" s="255"/>
      <c r="AG151" s="237"/>
      <c r="AH151" s="236"/>
      <c r="AK151" s="255" t="s">
        <v>315</v>
      </c>
      <c r="AL151" s="228"/>
    </row>
    <row r="152" spans="1:38" ht="51" hidden="1" customHeight="1">
      <c r="A152" s="293" t="s">
        <v>15</v>
      </c>
      <c r="B152" s="293" t="s">
        <v>22</v>
      </c>
      <c r="C152" s="293" t="s">
        <v>146</v>
      </c>
      <c r="D152" s="293" t="s">
        <v>122</v>
      </c>
      <c r="E152" s="294" t="s">
        <v>823</v>
      </c>
      <c r="F152" s="294"/>
      <c r="G152" s="294" t="s">
        <v>483</v>
      </c>
      <c r="H152" s="293" t="s">
        <v>174</v>
      </c>
      <c r="I152" s="295"/>
      <c r="J152" s="295"/>
      <c r="K152" s="295"/>
      <c r="L152" s="392">
        <v>43749</v>
      </c>
      <c r="M152" s="372">
        <v>43811</v>
      </c>
      <c r="N152" s="376"/>
      <c r="O152" s="389"/>
      <c r="P152" s="373"/>
      <c r="Q152" s="374"/>
      <c r="R152" s="375"/>
      <c r="S152" s="372"/>
      <c r="T152" s="372"/>
      <c r="U152" s="372">
        <f>M152+5</f>
        <v>43816</v>
      </c>
      <c r="V152" s="374" t="s">
        <v>836</v>
      </c>
      <c r="W152" s="372">
        <v>43809</v>
      </c>
      <c r="X152" s="376" t="s">
        <v>780</v>
      </c>
      <c r="Y152" s="372">
        <v>43810</v>
      </c>
      <c r="Z152" s="372"/>
      <c r="AA152" s="376"/>
      <c r="AB152" s="377">
        <v>43816</v>
      </c>
      <c r="AC152" s="250" t="str">
        <f t="shared" ca="1" si="34"/>
        <v>Уже не актуально</v>
      </c>
      <c r="AD152" s="251">
        <f>AB152-M152</f>
        <v>5</v>
      </c>
      <c r="AE152" s="252"/>
      <c r="AF152" s="255"/>
      <c r="AG152" s="237"/>
      <c r="AH152" s="236"/>
      <c r="AK152" s="255" t="s">
        <v>315</v>
      </c>
      <c r="AL152" s="228"/>
    </row>
    <row r="153" spans="1:38" ht="51" customHeight="1">
      <c r="A153" s="293" t="s">
        <v>15</v>
      </c>
      <c r="B153" s="293" t="s">
        <v>22</v>
      </c>
      <c r="C153" s="293" t="s">
        <v>146</v>
      </c>
      <c r="D153" s="293" t="s">
        <v>122</v>
      </c>
      <c r="E153" s="294" t="s">
        <v>823</v>
      </c>
      <c r="F153" s="294"/>
      <c r="G153" s="294" t="s">
        <v>483</v>
      </c>
      <c r="H153" s="293" t="s">
        <v>175</v>
      </c>
      <c r="I153" s="295"/>
      <c r="J153" s="295"/>
      <c r="K153" s="295"/>
      <c r="L153" s="392">
        <v>43762</v>
      </c>
      <c r="M153" s="372">
        <v>43829</v>
      </c>
      <c r="N153" s="376"/>
      <c r="O153" s="389"/>
      <c r="P153" s="373"/>
      <c r="Q153" s="374"/>
      <c r="R153" s="375"/>
      <c r="S153" s="372"/>
      <c r="T153" s="372"/>
      <c r="U153" s="372">
        <f>M153+15</f>
        <v>43844</v>
      </c>
      <c r="V153" s="374" t="s">
        <v>849</v>
      </c>
      <c r="W153" s="376">
        <v>43819</v>
      </c>
      <c r="X153" s="376" t="s">
        <v>780</v>
      </c>
      <c r="Y153" s="376">
        <v>43819</v>
      </c>
      <c r="Z153" s="372"/>
      <c r="AA153" s="376"/>
      <c r="AB153" s="377">
        <v>43837</v>
      </c>
      <c r="AC153" s="250" t="str">
        <f t="shared" ca="1" si="34"/>
        <v>Уже не актуально</v>
      </c>
      <c r="AD153" s="251">
        <f>AB153-M153</f>
        <v>8</v>
      </c>
      <c r="AE153" s="252"/>
      <c r="AF153" s="255"/>
      <c r="AG153" s="237"/>
      <c r="AH153" s="236"/>
      <c r="AK153" s="255" t="s">
        <v>315</v>
      </c>
      <c r="AL153" s="228"/>
    </row>
    <row r="154" spans="1:38" ht="51" customHeight="1">
      <c r="A154" s="293" t="s">
        <v>15</v>
      </c>
      <c r="B154" s="293" t="s">
        <v>22</v>
      </c>
      <c r="C154" s="293" t="s">
        <v>146</v>
      </c>
      <c r="D154" s="293" t="s">
        <v>122</v>
      </c>
      <c r="E154" s="294" t="s">
        <v>823</v>
      </c>
      <c r="F154" s="294"/>
      <c r="G154" s="294" t="s">
        <v>483</v>
      </c>
      <c r="H154" s="293" t="s">
        <v>178</v>
      </c>
      <c r="I154" s="295"/>
      <c r="J154" s="295"/>
      <c r="K154" s="295"/>
      <c r="L154" s="392">
        <v>43763</v>
      </c>
      <c r="M154" s="372">
        <v>43835</v>
      </c>
      <c r="N154" s="376"/>
      <c r="O154" s="389"/>
      <c r="P154" s="373"/>
      <c r="Q154" s="374"/>
      <c r="R154" s="375"/>
      <c r="S154" s="372"/>
      <c r="T154" s="372"/>
      <c r="U154" s="372">
        <f>M154+45</f>
        <v>43880</v>
      </c>
      <c r="V154" s="374" t="str">
        <f ca="1">IF(U154&gt;TODAY(),IF(U154&lt;TODAY()+17,"Пора отправлять","Еще рано"),"Уже не актуально")</f>
        <v>Уже не актуально</v>
      </c>
      <c r="W154" s="372"/>
      <c r="X154" s="376"/>
      <c r="Y154" s="376"/>
      <c r="Z154" s="372"/>
      <c r="AA154" s="376"/>
      <c r="AB154" s="377">
        <v>43915</v>
      </c>
      <c r="AC154" s="250" t="str">
        <f t="shared" ca="1" si="34"/>
        <v>Уже не актуально</v>
      </c>
      <c r="AD154" s="251">
        <f>AB154-M154</f>
        <v>80</v>
      </c>
      <c r="AE154" s="252"/>
      <c r="AF154" s="255"/>
      <c r="AG154" s="237"/>
      <c r="AH154" s="236"/>
      <c r="AK154" s="255" t="s">
        <v>315</v>
      </c>
      <c r="AL154" s="229"/>
    </row>
    <row r="155" spans="1:38" ht="51" customHeight="1">
      <c r="A155" s="293" t="s">
        <v>15</v>
      </c>
      <c r="B155" s="293" t="s">
        <v>22</v>
      </c>
      <c r="C155" s="293" t="s">
        <v>146</v>
      </c>
      <c r="D155" s="293" t="s">
        <v>122</v>
      </c>
      <c r="E155" s="294" t="s">
        <v>823</v>
      </c>
      <c r="F155" s="294"/>
      <c r="G155" s="294" t="s">
        <v>483</v>
      </c>
      <c r="H155" s="293" t="s">
        <v>182</v>
      </c>
      <c r="I155" s="295"/>
      <c r="J155" s="295"/>
      <c r="K155" s="295"/>
      <c r="L155" s="392">
        <v>43796</v>
      </c>
      <c r="M155" s="372">
        <v>43900</v>
      </c>
      <c r="N155" s="376"/>
      <c r="O155" s="389"/>
      <c r="P155" s="373"/>
      <c r="Q155" s="374"/>
      <c r="R155" s="375"/>
      <c r="S155" s="372"/>
      <c r="T155" s="372"/>
      <c r="U155" s="372">
        <f>M155</f>
        <v>43900</v>
      </c>
      <c r="V155" s="374" t="str">
        <f ca="1">IF(U155&gt;TODAY(),IF(U155&lt;TODAY()+17,"Пора отправлять","Еще рано"),"Уже не актуально")</f>
        <v>Уже не актуально</v>
      </c>
      <c r="W155" s="372"/>
      <c r="X155" s="376" t="str">
        <f ca="1">IF(U155&lt;=TODAY()+10,"Пора","Рано")</f>
        <v>Пора</v>
      </c>
      <c r="Y155" s="376"/>
      <c r="Z155" s="372"/>
      <c r="AA155" s="376"/>
      <c r="AB155" s="377"/>
      <c r="AC155" s="250" t="str">
        <f t="shared" ca="1" si="34"/>
        <v>Еще рано</v>
      </c>
      <c r="AD155" s="251">
        <f>AB155-M155</f>
        <v>-43900</v>
      </c>
      <c r="AE155" s="252" t="s">
        <v>828</v>
      </c>
      <c r="AF155" s="255"/>
      <c r="AG155" s="237"/>
      <c r="AH155" s="236"/>
      <c r="AK155" s="255" t="s">
        <v>315</v>
      </c>
      <c r="AL155" s="229"/>
    </row>
    <row r="156" spans="1:38" ht="51" customHeight="1">
      <c r="A156" s="293" t="s">
        <v>15</v>
      </c>
      <c r="B156" s="293" t="s">
        <v>22</v>
      </c>
      <c r="C156" s="293" t="s">
        <v>146</v>
      </c>
      <c r="D156" s="293" t="s">
        <v>122</v>
      </c>
      <c r="E156" s="294" t="s">
        <v>823</v>
      </c>
      <c r="F156" s="294"/>
      <c r="G156" s="294" t="s">
        <v>483</v>
      </c>
      <c r="H156" s="293" t="s">
        <v>277</v>
      </c>
      <c r="I156" s="295"/>
      <c r="J156" s="295"/>
      <c r="K156" s="295"/>
      <c r="L156" s="392">
        <v>43819</v>
      </c>
      <c r="M156" s="372">
        <v>43920</v>
      </c>
      <c r="N156" s="376"/>
      <c r="O156" s="389"/>
      <c r="P156" s="373"/>
      <c r="Q156" s="374"/>
      <c r="R156" s="375"/>
      <c r="S156" s="372"/>
      <c r="T156" s="372"/>
      <c r="U156" s="372">
        <f>M156+16</f>
        <v>43936</v>
      </c>
      <c r="V156" s="374" t="str">
        <f ca="1">IF(U156&gt;TODAY(),IF(U156&lt;TODAY()+17,"Пора отправлять","Еще рано"),"Уже не актуально")</f>
        <v>Пора отправлять</v>
      </c>
      <c r="W156" s="372"/>
      <c r="X156" s="376" t="str">
        <f ca="1">IF(U156&lt;=TODAY()+10,"Пора","Рано")</f>
        <v>Рано</v>
      </c>
      <c r="Y156" s="376"/>
      <c r="Z156" s="372"/>
      <c r="AA156" s="376"/>
      <c r="AB156" s="377"/>
      <c r="AC156" s="250" t="str">
        <f t="shared" ca="1" si="34"/>
        <v>Еще рано</v>
      </c>
      <c r="AD156" s="251"/>
      <c r="AE156" s="252" t="s">
        <v>852</v>
      </c>
      <c r="AF156" s="255"/>
      <c r="AG156" s="237"/>
      <c r="AH156" s="236"/>
      <c r="AK156" s="255" t="s">
        <v>315</v>
      </c>
      <c r="AL156" s="230"/>
    </row>
    <row r="157" spans="1:38" ht="51" customHeight="1">
      <c r="A157" s="293" t="s">
        <v>15</v>
      </c>
      <c r="B157" s="293" t="s">
        <v>22</v>
      </c>
      <c r="C157" s="293" t="s">
        <v>146</v>
      </c>
      <c r="D157" s="293" t="s">
        <v>122</v>
      </c>
      <c r="E157" s="294" t="s">
        <v>823</v>
      </c>
      <c r="F157" s="294"/>
      <c r="G157" s="294" t="s">
        <v>483</v>
      </c>
      <c r="H157" s="293" t="s">
        <v>893</v>
      </c>
      <c r="I157" s="295"/>
      <c r="J157" s="295"/>
      <c r="K157" s="295"/>
      <c r="L157" s="392"/>
      <c r="M157" s="372"/>
      <c r="N157" s="376"/>
      <c r="O157" s="389"/>
      <c r="P157" s="373"/>
      <c r="Q157" s="374"/>
      <c r="R157" s="375"/>
      <c r="S157" s="372"/>
      <c r="T157" s="372"/>
      <c r="U157" s="372"/>
      <c r="V157" s="374"/>
      <c r="W157" s="372"/>
      <c r="X157" s="376"/>
      <c r="Y157" s="376"/>
      <c r="Z157" s="372"/>
      <c r="AA157" s="376"/>
      <c r="AB157" s="377"/>
      <c r="AC157" s="250"/>
      <c r="AD157" s="251"/>
      <c r="AE157" s="252"/>
      <c r="AF157" s="255"/>
      <c r="AG157" s="237"/>
      <c r="AH157" s="236"/>
      <c r="AK157" s="255"/>
      <c r="AL157" s="231"/>
    </row>
    <row r="158" spans="1:38" ht="51" customHeight="1">
      <c r="A158" s="293" t="s">
        <v>15</v>
      </c>
      <c r="B158" s="293" t="s">
        <v>22</v>
      </c>
      <c r="C158" s="293" t="s">
        <v>146</v>
      </c>
      <c r="D158" s="293" t="s">
        <v>122</v>
      </c>
      <c r="E158" s="294" t="s">
        <v>823</v>
      </c>
      <c r="F158" s="294"/>
      <c r="G158" s="294" t="s">
        <v>483</v>
      </c>
      <c r="H158" s="293" t="s">
        <v>894</v>
      </c>
      <c r="I158" s="295"/>
      <c r="J158" s="295"/>
      <c r="K158" s="295"/>
      <c r="L158" s="392"/>
      <c r="M158" s="372"/>
      <c r="N158" s="376"/>
      <c r="O158" s="389"/>
      <c r="P158" s="373"/>
      <c r="Q158" s="374"/>
      <c r="R158" s="375"/>
      <c r="S158" s="372"/>
      <c r="T158" s="372"/>
      <c r="U158" s="372"/>
      <c r="V158" s="374"/>
      <c r="W158" s="372"/>
      <c r="X158" s="376"/>
      <c r="Y158" s="376"/>
      <c r="Z158" s="372"/>
      <c r="AA158" s="376"/>
      <c r="AB158" s="377"/>
      <c r="AC158" s="250"/>
      <c r="AD158" s="251"/>
      <c r="AE158" s="252"/>
      <c r="AF158" s="255"/>
      <c r="AG158" s="237"/>
      <c r="AH158" s="236"/>
      <c r="AK158" s="255"/>
      <c r="AL158" s="231"/>
    </row>
    <row r="159" spans="1:38" ht="51" customHeight="1">
      <c r="A159" s="249" t="s">
        <v>300</v>
      </c>
      <c r="B159" s="249" t="s">
        <v>22</v>
      </c>
      <c r="C159" s="249" t="s">
        <v>146</v>
      </c>
      <c r="D159" s="249" t="s">
        <v>122</v>
      </c>
      <c r="E159" s="296" t="s">
        <v>447</v>
      </c>
      <c r="F159" s="296"/>
      <c r="G159" s="296" t="s">
        <v>483</v>
      </c>
      <c r="H159" s="249" t="s">
        <v>574</v>
      </c>
      <c r="I159" s="247"/>
      <c r="J159" s="247"/>
      <c r="K159" s="247"/>
      <c r="L159" s="371">
        <v>43460</v>
      </c>
      <c r="M159" s="372">
        <v>43549</v>
      </c>
      <c r="N159" s="376">
        <v>43535</v>
      </c>
      <c r="O159" s="371">
        <v>30</v>
      </c>
      <c r="P159" s="373">
        <f t="shared" si="28"/>
        <v>43519</v>
      </c>
      <c r="Q159" s="374" t="s">
        <v>550</v>
      </c>
      <c r="R159" s="375">
        <v>43529</v>
      </c>
      <c r="S159" s="372"/>
      <c r="T159" s="372"/>
      <c r="U159" s="372">
        <v>43593</v>
      </c>
      <c r="V159" s="374" t="s">
        <v>645</v>
      </c>
      <c r="W159" s="372">
        <v>43593</v>
      </c>
      <c r="X159" s="376">
        <v>43597</v>
      </c>
      <c r="Y159" s="372">
        <v>43599</v>
      </c>
      <c r="Z159" s="372"/>
      <c r="AA159" s="376" t="str">
        <f>IF(Z159="","Рано","Когда?")</f>
        <v>Рано</v>
      </c>
      <c r="AB159" s="377">
        <v>43600</v>
      </c>
      <c r="AC159" s="250" t="s">
        <v>662</v>
      </c>
      <c r="AD159" s="251">
        <f t="shared" si="29"/>
        <v>51</v>
      </c>
      <c r="AE159" s="252" t="s">
        <v>592</v>
      </c>
      <c r="AF159" s="255"/>
      <c r="AG159" s="237"/>
      <c r="AH159" s="236"/>
      <c r="AK159" s="255" t="s">
        <v>317</v>
      </c>
      <c r="AL159" s="193"/>
    </row>
    <row r="160" spans="1:38" ht="51" customHeight="1">
      <c r="A160" s="249" t="s">
        <v>300</v>
      </c>
      <c r="B160" s="249" t="s">
        <v>22</v>
      </c>
      <c r="C160" s="249" t="s">
        <v>146</v>
      </c>
      <c r="D160" s="249" t="s">
        <v>122</v>
      </c>
      <c r="E160" s="296" t="s">
        <v>746</v>
      </c>
      <c r="F160" s="296"/>
      <c r="G160" s="296" t="s">
        <v>483</v>
      </c>
      <c r="H160" s="249" t="s">
        <v>767</v>
      </c>
      <c r="I160" s="247"/>
      <c r="J160" s="247"/>
      <c r="K160" s="247"/>
      <c r="L160" s="371">
        <v>43641</v>
      </c>
      <c r="M160" s="372">
        <v>43665</v>
      </c>
      <c r="N160" s="376"/>
      <c r="O160" s="371">
        <v>29</v>
      </c>
      <c r="P160" s="373">
        <f>M160-O160</f>
        <v>43636</v>
      </c>
      <c r="Q160" s="374" t="str">
        <f ca="1">IF(P160&gt;=TODAY()-5,IF(P160&lt;TODAY()+6,"Пора отправлять","Еще рано"),"Уже не актуально")</f>
        <v>Уже не актуально</v>
      </c>
      <c r="R160" s="375" t="s">
        <v>18</v>
      </c>
      <c r="S160" s="372"/>
      <c r="T160" s="372"/>
      <c r="U160" s="372">
        <v>43767</v>
      </c>
      <c r="V160" s="374" t="s">
        <v>450</v>
      </c>
      <c r="W160" s="372">
        <v>43772</v>
      </c>
      <c r="X160" s="376">
        <v>43773</v>
      </c>
      <c r="Y160" s="372">
        <v>43774</v>
      </c>
      <c r="Z160" s="372"/>
      <c r="AA160" s="376"/>
      <c r="AB160" s="385">
        <v>43780</v>
      </c>
      <c r="AC160" s="250" t="str">
        <f ca="1">IF(AB160&lt;TODAY()-5,IF(AB160="","Еще рано","Уже не актуально"),IF(AB160&gt;TODAY()-2,"Еще рано","Пора отправлять"))</f>
        <v>Уже не актуально</v>
      </c>
      <c r="AD160" s="251">
        <f>AB160-M160</f>
        <v>115</v>
      </c>
      <c r="AE160" s="252"/>
      <c r="AF160" s="255"/>
      <c r="AG160" s="237"/>
      <c r="AH160" s="236"/>
      <c r="AK160" s="255" t="s">
        <v>317</v>
      </c>
      <c r="AL160" s="229"/>
    </row>
    <row r="161" spans="1:38" ht="51" customHeight="1">
      <c r="A161" s="249" t="s">
        <v>300</v>
      </c>
      <c r="B161" s="249" t="s">
        <v>22</v>
      </c>
      <c r="C161" s="249" t="s">
        <v>146</v>
      </c>
      <c r="D161" s="249" t="s">
        <v>122</v>
      </c>
      <c r="E161" s="296" t="s">
        <v>908</v>
      </c>
      <c r="F161" s="296"/>
      <c r="G161" s="296" t="s">
        <v>483</v>
      </c>
      <c r="H161" s="249" t="s">
        <v>910</v>
      </c>
      <c r="I161" s="247"/>
      <c r="J161" s="247"/>
      <c r="K161" s="247">
        <v>4</v>
      </c>
      <c r="L161" s="371">
        <v>43811</v>
      </c>
      <c r="M161" s="372"/>
      <c r="N161" s="376"/>
      <c r="O161" s="371"/>
      <c r="P161" s="373"/>
      <c r="Q161" s="374"/>
      <c r="R161" s="375"/>
      <c r="S161" s="372"/>
      <c r="T161" s="372"/>
      <c r="U161" s="372"/>
      <c r="V161" s="374"/>
      <c r="W161" s="372"/>
      <c r="X161" s="376"/>
      <c r="Y161" s="372"/>
      <c r="Z161" s="372"/>
      <c r="AA161" s="376"/>
      <c r="AB161" s="385"/>
      <c r="AC161" s="250" t="str">
        <f ca="1">IF(AB161&lt;TODAY()-5,IF(AB161="","Еще рано","Уже не актуально"),IF(AB161&gt;TODAY()-2,"Еще рано","Пора отправлять"))</f>
        <v>Еще рано</v>
      </c>
      <c r="AD161" s="251"/>
      <c r="AE161" s="252"/>
      <c r="AF161" s="255"/>
      <c r="AG161" s="237"/>
      <c r="AH161" s="236"/>
      <c r="AK161" s="255" t="s">
        <v>909</v>
      </c>
      <c r="AL161" s="477"/>
    </row>
    <row r="162" spans="1:38" ht="51" customHeight="1">
      <c r="A162" s="249" t="s">
        <v>300</v>
      </c>
      <c r="B162" s="249" t="s">
        <v>22</v>
      </c>
      <c r="C162" s="249" t="s">
        <v>146</v>
      </c>
      <c r="D162" s="249" t="s">
        <v>122</v>
      </c>
      <c r="E162" s="296" t="s">
        <v>746</v>
      </c>
      <c r="F162" s="296"/>
      <c r="G162" s="296" t="s">
        <v>483</v>
      </c>
      <c r="H162" s="249" t="s">
        <v>911</v>
      </c>
      <c r="I162" s="247"/>
      <c r="J162" s="247"/>
      <c r="K162" s="247"/>
      <c r="L162" s="371"/>
      <c r="M162" s="372"/>
      <c r="N162" s="376"/>
      <c r="O162" s="371"/>
      <c r="P162" s="373"/>
      <c r="Q162" s="374"/>
      <c r="R162" s="375"/>
      <c r="S162" s="372"/>
      <c r="T162" s="372"/>
      <c r="U162" s="372"/>
      <c r="V162" s="374"/>
      <c r="W162" s="372"/>
      <c r="X162" s="376"/>
      <c r="Y162" s="372"/>
      <c r="Z162" s="372"/>
      <c r="AA162" s="376"/>
      <c r="AB162" s="385"/>
      <c r="AC162" s="250" t="str">
        <f ca="1">IF(AB162&lt;TODAY()-5,IF(AB162="","Еще рано","Уже не актуально"),IF(AB162&gt;TODAY()-2,"Еще рано","Пора отправлять"))</f>
        <v>Еще рано</v>
      </c>
      <c r="AD162" s="251"/>
      <c r="AE162" s="252"/>
      <c r="AF162" s="255"/>
      <c r="AG162" s="237"/>
      <c r="AH162" s="236"/>
      <c r="AK162" s="255" t="s">
        <v>317</v>
      </c>
      <c r="AL162" s="214"/>
    </row>
    <row r="163" spans="1:38" ht="34.9" hidden="1" customHeight="1">
      <c r="A163" s="297" t="s">
        <v>15</v>
      </c>
      <c r="B163" s="297" t="s">
        <v>20</v>
      </c>
      <c r="C163" s="297" t="s">
        <v>147</v>
      </c>
      <c r="D163" s="297" t="s">
        <v>121</v>
      </c>
      <c r="E163" s="298" t="s">
        <v>132</v>
      </c>
      <c r="F163" s="297"/>
      <c r="G163" s="297" t="s">
        <v>4</v>
      </c>
      <c r="H163" s="299" t="s">
        <v>26</v>
      </c>
      <c r="I163" s="297" t="s">
        <v>11</v>
      </c>
      <c r="J163" s="297" t="s">
        <v>11</v>
      </c>
      <c r="K163" s="297"/>
      <c r="L163" s="394" t="s">
        <v>40</v>
      </c>
      <c r="M163" s="372">
        <f>L163+90</f>
        <v>43039</v>
      </c>
      <c r="N163" s="376">
        <f>M163+90</f>
        <v>43129</v>
      </c>
      <c r="O163" s="395">
        <v>40</v>
      </c>
      <c r="P163" s="373">
        <f t="shared" si="28"/>
        <v>42999</v>
      </c>
      <c r="Q163" s="374" t="str">
        <f ca="1">IF(P163&gt;=TODAY()-5,IF(P163&lt;TODAY()+6,"Пора отправлять","Еще рано"),"Уже не актуально")</f>
        <v>Уже не актуально</v>
      </c>
      <c r="R163" s="375">
        <v>42990</v>
      </c>
      <c r="S163" s="376" t="s">
        <v>196</v>
      </c>
      <c r="T163" s="376"/>
      <c r="U163" s="372">
        <f>M163</f>
        <v>43039</v>
      </c>
      <c r="V163" s="374" t="str">
        <f ca="1">IF(U163&gt;TODAY(),IF(U163&lt;TODAY()+17,"Пора отправлять","рано"),"Уже не актуально")</f>
        <v>Уже не актуально</v>
      </c>
      <c r="W163" s="376">
        <v>43036</v>
      </c>
      <c r="X163" s="376">
        <v>43045</v>
      </c>
      <c r="Y163" s="376">
        <v>43046</v>
      </c>
      <c r="Z163" s="376">
        <v>43046</v>
      </c>
      <c r="AA163" s="376" t="s">
        <v>18</v>
      </c>
      <c r="AB163" s="385">
        <v>43050</v>
      </c>
      <c r="AC163" s="250" t="str">
        <f ca="1">IF(AB163&lt;TODAY()-5,IF(AB163="","Еще рано","Уже не актуально"),IF(AB163&gt;TODAY()-2,"Еще рано","Пора отправлять"))</f>
        <v>Уже не актуально</v>
      </c>
      <c r="AD163" s="251">
        <f t="shared" si="29"/>
        <v>11</v>
      </c>
      <c r="AE163" s="300" t="s">
        <v>59</v>
      </c>
      <c r="AF163" s="234"/>
      <c r="AG163" s="237"/>
      <c r="AH163" s="236"/>
      <c r="AK163" s="255" t="s">
        <v>315</v>
      </c>
      <c r="AL163" s="46"/>
    </row>
    <row r="164" spans="1:38" ht="47.45" hidden="1" customHeight="1">
      <c r="A164" s="297" t="s">
        <v>15</v>
      </c>
      <c r="B164" s="297" t="s">
        <v>20</v>
      </c>
      <c r="C164" s="297" t="s">
        <v>147</v>
      </c>
      <c r="D164" s="297" t="s">
        <v>121</v>
      </c>
      <c r="E164" s="298" t="s">
        <v>132</v>
      </c>
      <c r="F164" s="297"/>
      <c r="G164" s="297" t="s">
        <v>4</v>
      </c>
      <c r="H164" s="299" t="s">
        <v>27</v>
      </c>
      <c r="I164" s="297" t="s">
        <v>11</v>
      </c>
      <c r="J164" s="297" t="s">
        <v>11</v>
      </c>
      <c r="K164" s="297"/>
      <c r="L164" s="394" t="s">
        <v>40</v>
      </c>
      <c r="M164" s="372">
        <f>N164+90</f>
        <v>43041</v>
      </c>
      <c r="N164" s="376">
        <v>42951</v>
      </c>
      <c r="O164" s="395">
        <v>40</v>
      </c>
      <c r="P164" s="373">
        <f t="shared" si="28"/>
        <v>43001</v>
      </c>
      <c r="Q164" s="374" t="str">
        <f ca="1">IF(P164&gt;=TODAY()-5,IF(P164&lt;TODAY()+6,"Пора отправлять","Еще рано"),"Уже не актуально")</f>
        <v>Уже не актуально</v>
      </c>
      <c r="R164" s="375">
        <v>42990</v>
      </c>
      <c r="S164" s="376"/>
      <c r="T164" s="376"/>
      <c r="U164" s="372">
        <f>M164</f>
        <v>43041</v>
      </c>
      <c r="V164" s="374" t="str">
        <f ca="1">IF(U164&gt;TODAY(),IF(U164&lt;TODAY()+17,"Пора отправлять","рано"),"Уже не актуально")</f>
        <v>Уже не актуально</v>
      </c>
      <c r="W164" s="376">
        <v>43036</v>
      </c>
      <c r="X164" s="376">
        <v>43045</v>
      </c>
      <c r="Y164" s="376">
        <v>43046</v>
      </c>
      <c r="Z164" s="376">
        <v>43046</v>
      </c>
      <c r="AA164" s="376" t="s">
        <v>18</v>
      </c>
      <c r="AB164" s="385">
        <v>43049</v>
      </c>
      <c r="AC164" s="250" t="str">
        <f ca="1">IF(AB164&lt;TODAY()-5,IF(AB164="","Еще рано","Уже не актуально"),IF(AB164&gt;TODAY()-2,"Еще рано","Пора отправлять"))</f>
        <v>Уже не актуально</v>
      </c>
      <c r="AD164" s="251">
        <f t="shared" si="29"/>
        <v>8</v>
      </c>
      <c r="AE164" s="256" t="s">
        <v>47</v>
      </c>
      <c r="AF164" s="234"/>
      <c r="AG164" s="237"/>
      <c r="AH164" s="236"/>
      <c r="AK164" s="255" t="s">
        <v>315</v>
      </c>
      <c r="AL164" s="46"/>
    </row>
    <row r="165" spans="1:38" ht="54.95" hidden="1" customHeight="1">
      <c r="A165" s="297" t="s">
        <v>15</v>
      </c>
      <c r="B165" s="297" t="s">
        <v>20</v>
      </c>
      <c r="C165" s="297" t="s">
        <v>147</v>
      </c>
      <c r="D165" s="297" t="s">
        <v>121</v>
      </c>
      <c r="E165" s="298" t="s">
        <v>132</v>
      </c>
      <c r="F165" s="298"/>
      <c r="G165" s="297" t="s">
        <v>4</v>
      </c>
      <c r="H165" s="299">
        <v>7</v>
      </c>
      <c r="I165" s="297"/>
      <c r="J165" s="297"/>
      <c r="K165" s="297"/>
      <c r="L165" s="394">
        <v>43038</v>
      </c>
      <c r="M165" s="372">
        <f t="shared" ref="M165:M171" si="35">L165+90</f>
        <v>43128</v>
      </c>
      <c r="N165" s="376">
        <v>43041</v>
      </c>
      <c r="O165" s="395">
        <v>40</v>
      </c>
      <c r="P165" s="373">
        <f t="shared" si="28"/>
        <v>43088</v>
      </c>
      <c r="Q165" s="374" t="s">
        <v>196</v>
      </c>
      <c r="R165" s="375" t="s">
        <v>11</v>
      </c>
      <c r="S165" s="376"/>
      <c r="T165" s="376"/>
      <c r="U165" s="372">
        <v>43088</v>
      </c>
      <c r="V165" s="374" t="s">
        <v>194</v>
      </c>
      <c r="W165" s="372">
        <v>43089</v>
      </c>
      <c r="X165" s="372">
        <v>43094</v>
      </c>
      <c r="Y165" s="372">
        <v>43094</v>
      </c>
      <c r="Z165" s="372">
        <v>43080</v>
      </c>
      <c r="AA165" s="372">
        <v>43090</v>
      </c>
      <c r="AB165" s="377">
        <v>43094</v>
      </c>
      <c r="AC165" s="250" t="s">
        <v>204</v>
      </c>
      <c r="AD165" s="251">
        <f t="shared" si="29"/>
        <v>-34</v>
      </c>
      <c r="AE165" s="252"/>
      <c r="AF165" s="234"/>
      <c r="AG165" s="237"/>
      <c r="AH165" s="236"/>
      <c r="AK165" s="255" t="s">
        <v>315</v>
      </c>
      <c r="AL165" s="40"/>
    </row>
    <row r="166" spans="1:38" ht="54.95" hidden="1" customHeight="1">
      <c r="A166" s="297" t="s">
        <v>15</v>
      </c>
      <c r="B166" s="297" t="s">
        <v>20</v>
      </c>
      <c r="C166" s="297" t="s">
        <v>147</v>
      </c>
      <c r="D166" s="297" t="s">
        <v>121</v>
      </c>
      <c r="E166" s="298" t="s">
        <v>132</v>
      </c>
      <c r="F166" s="298"/>
      <c r="G166" s="297" t="s">
        <v>46</v>
      </c>
      <c r="H166" s="299">
        <v>8</v>
      </c>
      <c r="I166" s="297"/>
      <c r="J166" s="297"/>
      <c r="K166" s="297"/>
      <c r="L166" s="394">
        <v>43038</v>
      </c>
      <c r="M166" s="372">
        <f t="shared" si="35"/>
        <v>43128</v>
      </c>
      <c r="N166" s="376">
        <v>43041</v>
      </c>
      <c r="O166" s="395">
        <v>40</v>
      </c>
      <c r="P166" s="373">
        <f t="shared" si="28"/>
        <v>43088</v>
      </c>
      <c r="Q166" s="374" t="s">
        <v>196</v>
      </c>
      <c r="R166" s="375" t="s">
        <v>11</v>
      </c>
      <c r="S166" s="376"/>
      <c r="T166" s="376"/>
      <c r="U166" s="372">
        <v>43088</v>
      </c>
      <c r="V166" s="374" t="s">
        <v>194</v>
      </c>
      <c r="W166" s="372">
        <v>43089</v>
      </c>
      <c r="X166" s="372">
        <v>43094</v>
      </c>
      <c r="Y166" s="372">
        <v>43094</v>
      </c>
      <c r="Z166" s="372">
        <v>43080</v>
      </c>
      <c r="AA166" s="372">
        <v>43090</v>
      </c>
      <c r="AB166" s="377">
        <v>43094</v>
      </c>
      <c r="AC166" s="250" t="s">
        <v>204</v>
      </c>
      <c r="AD166" s="251">
        <f t="shared" si="29"/>
        <v>-34</v>
      </c>
      <c r="AE166" s="252"/>
      <c r="AF166" s="234"/>
      <c r="AG166" s="237"/>
      <c r="AH166" s="236"/>
      <c r="AK166" s="255" t="s">
        <v>315</v>
      </c>
      <c r="AL166" s="75"/>
    </row>
    <row r="167" spans="1:38" ht="54.95" hidden="1" customHeight="1">
      <c r="A167" s="297" t="s">
        <v>15</v>
      </c>
      <c r="B167" s="297" t="s">
        <v>20</v>
      </c>
      <c r="C167" s="297" t="s">
        <v>147</v>
      </c>
      <c r="D167" s="297" t="s">
        <v>121</v>
      </c>
      <c r="E167" s="298" t="s">
        <v>132</v>
      </c>
      <c r="F167" s="298"/>
      <c r="G167" s="297" t="s">
        <v>46</v>
      </c>
      <c r="H167" s="299">
        <v>9</v>
      </c>
      <c r="I167" s="297"/>
      <c r="J167" s="297"/>
      <c r="K167" s="297"/>
      <c r="L167" s="394">
        <v>43048</v>
      </c>
      <c r="M167" s="372">
        <f t="shared" si="35"/>
        <v>43138</v>
      </c>
      <c r="N167" s="372">
        <v>43070</v>
      </c>
      <c r="O167" s="395">
        <v>40</v>
      </c>
      <c r="P167" s="373">
        <f t="shared" si="28"/>
        <v>43098</v>
      </c>
      <c r="Q167" s="374" t="s">
        <v>202</v>
      </c>
      <c r="R167" s="375" t="s">
        <v>11</v>
      </c>
      <c r="S167" s="376"/>
      <c r="T167" s="376"/>
      <c r="U167" s="372">
        <v>43122</v>
      </c>
      <c r="V167" s="374" t="s">
        <v>203</v>
      </c>
      <c r="W167" s="372">
        <v>43122</v>
      </c>
      <c r="X167" s="372" t="s">
        <v>177</v>
      </c>
      <c r="Y167" s="372" t="s">
        <v>177</v>
      </c>
      <c r="Z167" s="372">
        <v>43115</v>
      </c>
      <c r="AA167" s="372">
        <v>43118</v>
      </c>
      <c r="AB167" s="377">
        <v>43125</v>
      </c>
      <c r="AC167" s="250" t="str">
        <f ca="1">IF(AB167&lt;TODAY()-5,IF(AB167="","Еще рано","Уже не актуально"),IF(AB167&gt;TODAY()-2,"Еще рано","Пора отправлять"))</f>
        <v>Уже не актуально</v>
      </c>
      <c r="AD167" s="251">
        <f t="shared" si="29"/>
        <v>-13</v>
      </c>
      <c r="AE167" s="252"/>
      <c r="AF167" s="234"/>
      <c r="AG167" s="237"/>
      <c r="AH167" s="236"/>
      <c r="AK167" s="255" t="s">
        <v>315</v>
      </c>
      <c r="AL167" s="75"/>
    </row>
    <row r="168" spans="1:38" ht="54.95" hidden="1" customHeight="1">
      <c r="A168" s="297" t="s">
        <v>15</v>
      </c>
      <c r="B168" s="297" t="s">
        <v>20</v>
      </c>
      <c r="C168" s="297" t="s">
        <v>147</v>
      </c>
      <c r="D168" s="297" t="s">
        <v>121</v>
      </c>
      <c r="E168" s="298" t="s">
        <v>132</v>
      </c>
      <c r="F168" s="298"/>
      <c r="G168" s="297" t="s">
        <v>46</v>
      </c>
      <c r="H168" s="299">
        <v>10</v>
      </c>
      <c r="I168" s="297"/>
      <c r="J168" s="297"/>
      <c r="K168" s="297"/>
      <c r="L168" s="394">
        <v>43048</v>
      </c>
      <c r="M168" s="372">
        <f t="shared" si="35"/>
        <v>43138</v>
      </c>
      <c r="N168" s="372">
        <v>43070</v>
      </c>
      <c r="O168" s="395">
        <v>40</v>
      </c>
      <c r="P168" s="373">
        <f t="shared" si="28"/>
        <v>43098</v>
      </c>
      <c r="Q168" s="374" t="s">
        <v>202</v>
      </c>
      <c r="R168" s="375" t="s">
        <v>11</v>
      </c>
      <c r="S168" s="376"/>
      <c r="T168" s="376"/>
      <c r="U168" s="372">
        <v>43122</v>
      </c>
      <c r="V168" s="374" t="s">
        <v>203</v>
      </c>
      <c r="W168" s="372">
        <v>43122</v>
      </c>
      <c r="X168" s="372" t="s">
        <v>177</v>
      </c>
      <c r="Y168" s="372" t="s">
        <v>177</v>
      </c>
      <c r="Z168" s="372">
        <v>43115</v>
      </c>
      <c r="AA168" s="372">
        <v>43118</v>
      </c>
      <c r="AB168" s="377">
        <v>43125</v>
      </c>
      <c r="AC168" s="250" t="str">
        <f ca="1">IF(AB168&lt;TODAY()-5,IF(AB168="","Еще рано","Уже не актуально"),IF(AB168&gt;TODAY()-2,"Еще рано","Пора отправлять"))</f>
        <v>Уже не актуально</v>
      </c>
      <c r="AD168" s="251">
        <f t="shared" si="29"/>
        <v>-13</v>
      </c>
      <c r="AE168" s="252"/>
      <c r="AF168" s="234"/>
      <c r="AG168" s="237"/>
      <c r="AH168" s="236"/>
      <c r="AK168" s="255" t="s">
        <v>315</v>
      </c>
      <c r="AL168" s="75"/>
    </row>
    <row r="169" spans="1:38" ht="54.95" hidden="1" customHeight="1">
      <c r="A169" s="297" t="s">
        <v>15</v>
      </c>
      <c r="B169" s="297" t="s">
        <v>20</v>
      </c>
      <c r="C169" s="297" t="s">
        <v>147</v>
      </c>
      <c r="D169" s="297" t="s">
        <v>121</v>
      </c>
      <c r="E169" s="298" t="s">
        <v>132</v>
      </c>
      <c r="F169" s="298"/>
      <c r="G169" s="297" t="s">
        <v>46</v>
      </c>
      <c r="H169" s="299">
        <v>11</v>
      </c>
      <c r="I169" s="297"/>
      <c r="J169" s="297"/>
      <c r="K169" s="297"/>
      <c r="L169" s="394">
        <v>43055</v>
      </c>
      <c r="M169" s="372">
        <f t="shared" si="35"/>
        <v>43145</v>
      </c>
      <c r="N169" s="372">
        <v>43070</v>
      </c>
      <c r="O169" s="395">
        <v>40</v>
      </c>
      <c r="P169" s="373">
        <f t="shared" si="28"/>
        <v>43105</v>
      </c>
      <c r="Q169" s="374" t="s">
        <v>209</v>
      </c>
      <c r="R169" s="375" t="s">
        <v>11</v>
      </c>
      <c r="S169" s="376"/>
      <c r="T169" s="376"/>
      <c r="U169" s="372">
        <v>43122</v>
      </c>
      <c r="V169" s="374" t="s">
        <v>203</v>
      </c>
      <c r="W169" s="372">
        <v>43122</v>
      </c>
      <c r="X169" s="372" t="s">
        <v>177</v>
      </c>
      <c r="Y169" s="372" t="s">
        <v>177</v>
      </c>
      <c r="Z169" s="372">
        <v>43115</v>
      </c>
      <c r="AA169" s="372">
        <v>43118</v>
      </c>
      <c r="AB169" s="377">
        <v>43125</v>
      </c>
      <c r="AC169" s="250" t="str">
        <f ca="1">IF(AB169&lt;TODAY()-5,IF(AB169="","Еще рано","Уже не актуально"),IF(AB169&gt;TODAY()-2,"Еще рано","Пора отправлять"))</f>
        <v>Уже не актуально</v>
      </c>
      <c r="AD169" s="251">
        <f t="shared" si="29"/>
        <v>-20</v>
      </c>
      <c r="AE169" s="252"/>
      <c r="AF169" s="234"/>
      <c r="AG169" s="237"/>
      <c r="AH169" s="236"/>
      <c r="AK169" s="255" t="s">
        <v>315</v>
      </c>
      <c r="AL169" s="75"/>
    </row>
    <row r="170" spans="1:38" ht="54.95" hidden="1" customHeight="1">
      <c r="A170" s="297" t="s">
        <v>15</v>
      </c>
      <c r="B170" s="297" t="s">
        <v>20</v>
      </c>
      <c r="C170" s="297" t="s">
        <v>147</v>
      </c>
      <c r="D170" s="297" t="s">
        <v>121</v>
      </c>
      <c r="E170" s="298" t="s">
        <v>132</v>
      </c>
      <c r="F170" s="298"/>
      <c r="G170" s="297" t="s">
        <v>46</v>
      </c>
      <c r="H170" s="299">
        <v>12</v>
      </c>
      <c r="I170" s="297"/>
      <c r="J170" s="297"/>
      <c r="K170" s="297"/>
      <c r="L170" s="394">
        <v>43055</v>
      </c>
      <c r="M170" s="372">
        <f t="shared" si="35"/>
        <v>43145</v>
      </c>
      <c r="N170" s="372">
        <v>43070</v>
      </c>
      <c r="O170" s="395">
        <v>40</v>
      </c>
      <c r="P170" s="373">
        <f t="shared" si="28"/>
        <v>43105</v>
      </c>
      <c r="Q170" s="374" t="s">
        <v>209</v>
      </c>
      <c r="R170" s="375" t="s">
        <v>11</v>
      </c>
      <c r="S170" s="376"/>
      <c r="T170" s="376"/>
      <c r="U170" s="372">
        <v>43185</v>
      </c>
      <c r="V170" s="374" t="s">
        <v>240</v>
      </c>
      <c r="W170" s="372">
        <v>43179</v>
      </c>
      <c r="X170" s="372" t="s">
        <v>177</v>
      </c>
      <c r="Y170" s="372" t="s">
        <v>177</v>
      </c>
      <c r="Z170" s="372" t="s">
        <v>111</v>
      </c>
      <c r="AA170" s="372" t="s">
        <v>111</v>
      </c>
      <c r="AB170" s="377">
        <v>43180</v>
      </c>
      <c r="AC170" s="250" t="str">
        <f ca="1">IF(AB170&lt;TODAY()-5,IF(AB170="","Еще рано","Уже не актуально"),IF(AB170&gt;TODAY()-2,"Еще рано","Пора отправлять"))</f>
        <v>Уже не актуально</v>
      </c>
      <c r="AD170" s="251">
        <f t="shared" si="29"/>
        <v>35</v>
      </c>
      <c r="AE170" s="252" t="s">
        <v>241</v>
      </c>
      <c r="AF170" s="234"/>
      <c r="AG170" s="237"/>
      <c r="AH170" s="236"/>
      <c r="AK170" s="255" t="s">
        <v>315</v>
      </c>
      <c r="AL170" s="75"/>
    </row>
    <row r="171" spans="1:38" ht="54.95" hidden="1" customHeight="1">
      <c r="A171" s="297" t="s">
        <v>15</v>
      </c>
      <c r="B171" s="297" t="s">
        <v>20</v>
      </c>
      <c r="C171" s="297" t="s">
        <v>147</v>
      </c>
      <c r="D171" s="297" t="s">
        <v>121</v>
      </c>
      <c r="E171" s="298" t="s">
        <v>132</v>
      </c>
      <c r="F171" s="298"/>
      <c r="G171" s="297" t="s">
        <v>46</v>
      </c>
      <c r="H171" s="299">
        <v>13</v>
      </c>
      <c r="I171" s="297"/>
      <c r="J171" s="297"/>
      <c r="K171" s="297"/>
      <c r="L171" s="394">
        <v>43063</v>
      </c>
      <c r="M171" s="372">
        <f t="shared" si="35"/>
        <v>43153</v>
      </c>
      <c r="N171" s="372">
        <v>43070</v>
      </c>
      <c r="O171" s="395">
        <v>40</v>
      </c>
      <c r="P171" s="373">
        <f t="shared" si="28"/>
        <v>43113</v>
      </c>
      <c r="Q171" s="374" t="s">
        <v>211</v>
      </c>
      <c r="R171" s="375" t="s">
        <v>11</v>
      </c>
      <c r="S171" s="376"/>
      <c r="T171" s="376"/>
      <c r="U171" s="372">
        <v>43185</v>
      </c>
      <c r="V171" s="374" t="s">
        <v>240</v>
      </c>
      <c r="W171" s="372">
        <v>43179</v>
      </c>
      <c r="X171" s="372" t="s">
        <v>177</v>
      </c>
      <c r="Y171" s="372" t="s">
        <v>177</v>
      </c>
      <c r="Z171" s="372" t="s">
        <v>111</v>
      </c>
      <c r="AA171" s="372" t="s">
        <v>111</v>
      </c>
      <c r="AB171" s="377">
        <v>43180</v>
      </c>
      <c r="AC171" s="250" t="str">
        <f ca="1">IF(AB171&lt;TODAY()-5,IF(AB171="","Еще рано","Уже не актуально"),IF(AB171&gt;TODAY()-2,"Еще рано","Пора отправлять"))</f>
        <v>Уже не актуально</v>
      </c>
      <c r="AD171" s="251">
        <f t="shared" si="29"/>
        <v>27</v>
      </c>
      <c r="AE171" s="234" t="s">
        <v>248</v>
      </c>
      <c r="AF171" s="234"/>
      <c r="AG171" s="237"/>
      <c r="AH171" s="236"/>
      <c r="AK171" s="255" t="s">
        <v>315</v>
      </c>
      <c r="AL171" s="40"/>
    </row>
    <row r="172" spans="1:38" ht="54.95" hidden="1" customHeight="1">
      <c r="A172" s="297" t="s">
        <v>15</v>
      </c>
      <c r="B172" s="297" t="s">
        <v>20</v>
      </c>
      <c r="C172" s="297" t="s">
        <v>147</v>
      </c>
      <c r="D172" s="297" t="s">
        <v>121</v>
      </c>
      <c r="E172" s="298" t="s">
        <v>132</v>
      </c>
      <c r="F172" s="298"/>
      <c r="G172" s="297" t="s">
        <v>46</v>
      </c>
      <c r="H172" s="299">
        <v>14</v>
      </c>
      <c r="I172" s="297"/>
      <c r="J172" s="297"/>
      <c r="K172" s="297"/>
      <c r="L172" s="394">
        <v>43214</v>
      </c>
      <c r="M172" s="372">
        <v>43291</v>
      </c>
      <c r="N172" s="372"/>
      <c r="O172" s="395">
        <v>40</v>
      </c>
      <c r="P172" s="373">
        <f t="shared" si="28"/>
        <v>43251</v>
      </c>
      <c r="Q172" s="374" t="str">
        <f ca="1">IF(P172&gt;=TODAY()-5,IF(P172&lt;TODAY()+6,"Пора отправлять","Еще рано"),"Уже не актуально")</f>
        <v>Уже не актуально</v>
      </c>
      <c r="R172" s="375">
        <v>43281</v>
      </c>
      <c r="S172" s="376"/>
      <c r="T172" s="376"/>
      <c r="U172" s="372">
        <v>43309</v>
      </c>
      <c r="V172" s="374" t="s">
        <v>323</v>
      </c>
      <c r="W172" s="372">
        <v>43311</v>
      </c>
      <c r="X172" s="376">
        <v>43315</v>
      </c>
      <c r="Y172" s="372">
        <v>43313</v>
      </c>
      <c r="Z172" s="372" t="s">
        <v>111</v>
      </c>
      <c r="AA172" s="372">
        <v>43305</v>
      </c>
      <c r="AB172" s="377">
        <v>43313</v>
      </c>
      <c r="AC172" s="250" t="s">
        <v>350</v>
      </c>
      <c r="AD172" s="251">
        <f t="shared" si="29"/>
        <v>22</v>
      </c>
      <c r="AE172" s="234" t="s">
        <v>334</v>
      </c>
      <c r="AF172" s="234"/>
      <c r="AG172" s="237"/>
      <c r="AH172" s="236"/>
      <c r="AK172" s="255" t="s">
        <v>315</v>
      </c>
      <c r="AL172" s="122"/>
    </row>
    <row r="173" spans="1:38" ht="54.95" hidden="1" customHeight="1">
      <c r="A173" s="297" t="s">
        <v>15</v>
      </c>
      <c r="B173" s="297" t="s">
        <v>20</v>
      </c>
      <c r="C173" s="297" t="s">
        <v>147</v>
      </c>
      <c r="D173" s="297" t="s">
        <v>121</v>
      </c>
      <c r="E173" s="298" t="s">
        <v>132</v>
      </c>
      <c r="F173" s="298"/>
      <c r="G173" s="297" t="s">
        <v>46</v>
      </c>
      <c r="H173" s="299">
        <v>15</v>
      </c>
      <c r="I173" s="297"/>
      <c r="J173" s="297"/>
      <c r="K173" s="297"/>
      <c r="L173" s="394">
        <v>43296</v>
      </c>
      <c r="M173" s="372">
        <v>43342</v>
      </c>
      <c r="N173" s="372">
        <v>43305</v>
      </c>
      <c r="O173" s="395">
        <v>40</v>
      </c>
      <c r="P173" s="373">
        <f t="shared" si="28"/>
        <v>43302</v>
      </c>
      <c r="Q173" s="374" t="s">
        <v>333</v>
      </c>
      <c r="R173" s="375" t="s">
        <v>11</v>
      </c>
      <c r="S173" s="376"/>
      <c r="T173" s="376"/>
      <c r="U173" s="372">
        <f>M173</f>
        <v>43342</v>
      </c>
      <c r="V173" s="374" t="s">
        <v>360</v>
      </c>
      <c r="W173" s="372">
        <v>43348</v>
      </c>
      <c r="X173" s="376">
        <v>43355</v>
      </c>
      <c r="Y173" s="396">
        <v>43368</v>
      </c>
      <c r="Z173" s="372" t="s">
        <v>111</v>
      </c>
      <c r="AA173" s="372" t="s">
        <v>111</v>
      </c>
      <c r="AB173" s="377">
        <v>43372</v>
      </c>
      <c r="AC173" s="250" t="str">
        <f ca="1">IF(AB173&lt;TODAY()-5,IF(AB173="","Еще рано","Уже не актуально"),IF(AB173&gt;TODAY()-2,"Еще рано","Пора отправлять"))</f>
        <v>Уже не актуально</v>
      </c>
      <c r="AD173" s="251">
        <f t="shared" si="29"/>
        <v>30</v>
      </c>
      <c r="AE173" s="234" t="s">
        <v>435</v>
      </c>
      <c r="AF173" s="255"/>
      <c r="AG173" s="237"/>
      <c r="AH173" s="236"/>
      <c r="AK173" s="255" t="s">
        <v>315</v>
      </c>
      <c r="AL173" s="151"/>
    </row>
    <row r="174" spans="1:38" ht="54.95" hidden="1" customHeight="1">
      <c r="A174" s="297" t="s">
        <v>15</v>
      </c>
      <c r="B174" s="297" t="s">
        <v>20</v>
      </c>
      <c r="C174" s="297" t="s">
        <v>147</v>
      </c>
      <c r="D174" s="297" t="s">
        <v>121</v>
      </c>
      <c r="E174" s="298" t="s">
        <v>132</v>
      </c>
      <c r="F174" s="298"/>
      <c r="G174" s="297" t="s">
        <v>433</v>
      </c>
      <c r="H174" s="299">
        <v>16</v>
      </c>
      <c r="I174" s="297"/>
      <c r="J174" s="297"/>
      <c r="K174" s="297"/>
      <c r="L174" s="394">
        <v>43390</v>
      </c>
      <c r="M174" s="372">
        <v>43449</v>
      </c>
      <c r="N174" s="372"/>
      <c r="O174" s="395">
        <f>40</f>
        <v>40</v>
      </c>
      <c r="P174" s="373">
        <f t="shared" si="28"/>
        <v>43409</v>
      </c>
      <c r="Q174" s="397" t="str">
        <f ca="1">IF(P174&gt;=TODAY()-5,IF(P174&lt;TODAY()+6,"Пора отправлять","Еще рано"),"Уже не актуально")</f>
        <v>Уже не актуально</v>
      </c>
      <c r="R174" s="375" t="s">
        <v>11</v>
      </c>
      <c r="S174" s="376"/>
      <c r="T174" s="376"/>
      <c r="U174" s="372">
        <v>43480</v>
      </c>
      <c r="V174" s="397" t="s">
        <v>497</v>
      </c>
      <c r="W174" s="372">
        <v>43480</v>
      </c>
      <c r="X174" s="376" t="s">
        <v>177</v>
      </c>
      <c r="Y174" s="376" t="s">
        <v>177</v>
      </c>
      <c r="Z174" s="372" t="s">
        <v>111</v>
      </c>
      <c r="AA174" s="372" t="s">
        <v>111</v>
      </c>
      <c r="AB174" s="377">
        <v>43483</v>
      </c>
      <c r="AC174" s="250" t="s">
        <v>507</v>
      </c>
      <c r="AD174" s="251">
        <f t="shared" si="29"/>
        <v>34</v>
      </c>
      <c r="AE174" s="234"/>
      <c r="AF174" s="255"/>
      <c r="AG174" s="237"/>
      <c r="AH174" s="236"/>
      <c r="AK174" s="255" t="s">
        <v>315</v>
      </c>
      <c r="AL174" s="173"/>
    </row>
    <row r="175" spans="1:38" ht="54.95" hidden="1" customHeight="1">
      <c r="A175" s="297" t="s">
        <v>15</v>
      </c>
      <c r="B175" s="297" t="s">
        <v>20</v>
      </c>
      <c r="C175" s="297" t="s">
        <v>147</v>
      </c>
      <c r="D175" s="297" t="s">
        <v>121</v>
      </c>
      <c r="E175" s="298" t="s">
        <v>132</v>
      </c>
      <c r="F175" s="298"/>
      <c r="G175" s="297" t="s">
        <v>433</v>
      </c>
      <c r="H175" s="299">
        <v>17</v>
      </c>
      <c r="I175" s="297"/>
      <c r="J175" s="297"/>
      <c r="K175" s="297"/>
      <c r="L175" s="394">
        <v>43403</v>
      </c>
      <c r="M175" s="372">
        <v>43449</v>
      </c>
      <c r="N175" s="372" t="s">
        <v>228</v>
      </c>
      <c r="O175" s="395">
        <f>40</f>
        <v>40</v>
      </c>
      <c r="P175" s="373">
        <f t="shared" si="28"/>
        <v>43409</v>
      </c>
      <c r="Q175" s="397" t="str">
        <f ca="1">IF(P175&gt;=TODAY()-5,IF(P175&lt;TODAY()+6,"Пора отправлять","Еще рано"),"Уже не актуально")</f>
        <v>Уже не актуально</v>
      </c>
      <c r="R175" s="375" t="s">
        <v>11</v>
      </c>
      <c r="S175" s="376" t="s">
        <v>196</v>
      </c>
      <c r="T175" s="376"/>
      <c r="U175" s="372">
        <v>43472</v>
      </c>
      <c r="V175" s="397" t="s">
        <v>497</v>
      </c>
      <c r="W175" s="372">
        <v>43472</v>
      </c>
      <c r="X175" s="376" t="s">
        <v>177</v>
      </c>
      <c r="Y175" s="376" t="s">
        <v>177</v>
      </c>
      <c r="Z175" s="372" t="s">
        <v>111</v>
      </c>
      <c r="AA175" s="372" t="s">
        <v>111</v>
      </c>
      <c r="AB175" s="377">
        <v>43493</v>
      </c>
      <c r="AC175" s="250" t="s">
        <v>507</v>
      </c>
      <c r="AD175" s="251">
        <f t="shared" si="29"/>
        <v>44</v>
      </c>
      <c r="AE175" s="234"/>
      <c r="AF175" s="255"/>
      <c r="AG175" s="237"/>
      <c r="AH175" s="236"/>
      <c r="AK175" s="255" t="s">
        <v>315</v>
      </c>
      <c r="AL175" s="182"/>
    </row>
    <row r="176" spans="1:38" ht="54.95" hidden="1" customHeight="1">
      <c r="A176" s="297" t="s">
        <v>15</v>
      </c>
      <c r="B176" s="297" t="s">
        <v>20</v>
      </c>
      <c r="C176" s="297" t="s">
        <v>147</v>
      </c>
      <c r="D176" s="297" t="s">
        <v>121</v>
      </c>
      <c r="E176" s="298" t="s">
        <v>132</v>
      </c>
      <c r="F176" s="298"/>
      <c r="G176" s="297" t="s">
        <v>433</v>
      </c>
      <c r="H176" s="299">
        <v>18</v>
      </c>
      <c r="I176" s="297"/>
      <c r="J176" s="297"/>
      <c r="K176" s="297"/>
      <c r="L176" s="394">
        <v>43581</v>
      </c>
      <c r="M176" s="372">
        <v>43631</v>
      </c>
      <c r="N176" s="372" t="s">
        <v>228</v>
      </c>
      <c r="O176" s="395">
        <f>40</f>
        <v>40</v>
      </c>
      <c r="P176" s="373">
        <f>M176-O176</f>
        <v>43591</v>
      </c>
      <c r="Q176" s="397" t="s">
        <v>286</v>
      </c>
      <c r="R176" s="375" t="s">
        <v>11</v>
      </c>
      <c r="S176" s="376"/>
      <c r="T176" s="376"/>
      <c r="U176" s="372">
        <v>43705</v>
      </c>
      <c r="V176" s="374" t="s">
        <v>747</v>
      </c>
      <c r="W176" s="372">
        <v>43705</v>
      </c>
      <c r="X176" s="376" t="s">
        <v>177</v>
      </c>
      <c r="Y176" s="376" t="s">
        <v>177</v>
      </c>
      <c r="Z176" s="372" t="s">
        <v>111</v>
      </c>
      <c r="AA176" s="372" t="s">
        <v>111</v>
      </c>
      <c r="AB176" s="377">
        <v>43717</v>
      </c>
      <c r="AC176" s="250" t="str">
        <f ca="1">IF(AB176&lt;TODAY()-5,IF(AB176="","Еще рано","Уже не актуально"),IF(AB176&gt;TODAY()-2,"Еще рано","Пора отправлять"))</f>
        <v>Уже не актуально</v>
      </c>
      <c r="AD176" s="251">
        <f t="shared" ref="AD176:AD183" si="36">AB176-M176</f>
        <v>86</v>
      </c>
      <c r="AE176" s="234"/>
      <c r="AF176" s="255"/>
      <c r="AG176" s="237"/>
      <c r="AH176" s="236"/>
      <c r="AK176" s="255" t="s">
        <v>315</v>
      </c>
      <c r="AL176" s="209"/>
    </row>
    <row r="177" spans="1:38" ht="54.95" customHeight="1">
      <c r="A177" s="297" t="s">
        <v>15</v>
      </c>
      <c r="B177" s="297" t="s">
        <v>20</v>
      </c>
      <c r="C177" s="297" t="s">
        <v>147</v>
      </c>
      <c r="D177" s="297" t="s">
        <v>121</v>
      </c>
      <c r="E177" s="298" t="s">
        <v>132</v>
      </c>
      <c r="F177" s="298"/>
      <c r="G177" s="297" t="s">
        <v>433</v>
      </c>
      <c r="H177" s="299">
        <v>19</v>
      </c>
      <c r="I177" s="297"/>
      <c r="J177" s="297"/>
      <c r="K177" s="297"/>
      <c r="L177" s="394">
        <v>43637</v>
      </c>
      <c r="M177" s="372">
        <v>43682</v>
      </c>
      <c r="N177" s="372">
        <v>43641</v>
      </c>
      <c r="O177" s="395">
        <f>40</f>
        <v>40</v>
      </c>
      <c r="P177" s="373">
        <f>M177-O177</f>
        <v>43642</v>
      </c>
      <c r="Q177" s="397" t="s">
        <v>203</v>
      </c>
      <c r="R177" s="375" t="s">
        <v>11</v>
      </c>
      <c r="S177" s="376"/>
      <c r="T177" s="376"/>
      <c r="U177" s="372">
        <v>43705</v>
      </c>
      <c r="V177" s="374" t="s">
        <v>747</v>
      </c>
      <c r="W177" s="372">
        <v>43705</v>
      </c>
      <c r="X177" s="376" t="s">
        <v>177</v>
      </c>
      <c r="Y177" s="376" t="s">
        <v>177</v>
      </c>
      <c r="Z177" s="372"/>
      <c r="AA177" s="372"/>
      <c r="AB177" s="377">
        <v>43717</v>
      </c>
      <c r="AC177" s="250" t="str">
        <f ca="1">IF(AB177&lt;TODAY()-5,IF(AB177="","Еще рано","Уже не актуально"),IF(AB177&gt;TODAY()-2,"Еще рано","Пора отправлять"))</f>
        <v>Уже не актуально</v>
      </c>
      <c r="AD177" s="251">
        <f t="shared" si="36"/>
        <v>35</v>
      </c>
      <c r="AE177" s="234"/>
      <c r="AF177" s="255"/>
      <c r="AG177" s="237"/>
      <c r="AH177" s="236"/>
      <c r="AK177" s="255" t="s">
        <v>315</v>
      </c>
      <c r="AL177" s="216"/>
    </row>
    <row r="178" spans="1:38" ht="54.95" customHeight="1">
      <c r="A178" s="297" t="s">
        <v>15</v>
      </c>
      <c r="B178" s="297" t="s">
        <v>20</v>
      </c>
      <c r="C178" s="297" t="s">
        <v>147</v>
      </c>
      <c r="D178" s="297" t="s">
        <v>121</v>
      </c>
      <c r="E178" s="298" t="s">
        <v>132</v>
      </c>
      <c r="F178" s="298"/>
      <c r="G178" s="297" t="s">
        <v>433</v>
      </c>
      <c r="H178" s="299" t="s">
        <v>90</v>
      </c>
      <c r="I178" s="297"/>
      <c r="J178" s="297"/>
      <c r="K178" s="297"/>
      <c r="L178" s="394">
        <v>43697</v>
      </c>
      <c r="M178" s="372">
        <v>43748</v>
      </c>
      <c r="N178" s="372"/>
      <c r="O178" s="395">
        <f>40</f>
        <v>40</v>
      </c>
      <c r="P178" s="373"/>
      <c r="Q178" s="397" t="s">
        <v>203</v>
      </c>
      <c r="R178" s="375"/>
      <c r="S178" s="376"/>
      <c r="T178" s="376"/>
      <c r="U178" s="372">
        <v>43767</v>
      </c>
      <c r="V178" s="374" t="s">
        <v>450</v>
      </c>
      <c r="W178" s="372">
        <v>43767</v>
      </c>
      <c r="X178" s="376" t="s">
        <v>177</v>
      </c>
      <c r="Y178" s="376" t="s">
        <v>177</v>
      </c>
      <c r="Z178" s="372"/>
      <c r="AA178" s="372"/>
      <c r="AB178" s="377">
        <v>43771</v>
      </c>
      <c r="AC178" s="250" t="s">
        <v>813</v>
      </c>
      <c r="AD178" s="251">
        <f t="shared" si="36"/>
        <v>23</v>
      </c>
      <c r="AE178" s="234"/>
      <c r="AF178" s="255"/>
      <c r="AG178" s="237"/>
      <c r="AH178" s="236"/>
      <c r="AK178" s="255" t="s">
        <v>315</v>
      </c>
      <c r="AL178" s="228"/>
    </row>
    <row r="179" spans="1:38" ht="54.95" customHeight="1">
      <c r="A179" s="297" t="s">
        <v>15</v>
      </c>
      <c r="B179" s="297" t="s">
        <v>20</v>
      </c>
      <c r="C179" s="297" t="s">
        <v>147</v>
      </c>
      <c r="D179" s="297" t="s">
        <v>121</v>
      </c>
      <c r="E179" s="298" t="s">
        <v>132</v>
      </c>
      <c r="F179" s="298"/>
      <c r="G179" s="297" t="s">
        <v>433</v>
      </c>
      <c r="H179" s="299" t="s">
        <v>173</v>
      </c>
      <c r="I179" s="297"/>
      <c r="J179" s="297"/>
      <c r="K179" s="297"/>
      <c r="L179" s="394">
        <v>43742</v>
      </c>
      <c r="M179" s="372">
        <v>43789</v>
      </c>
      <c r="N179" s="372"/>
      <c r="O179" s="395">
        <f>40</f>
        <v>40</v>
      </c>
      <c r="P179" s="373"/>
      <c r="Q179" s="397" t="s">
        <v>203</v>
      </c>
      <c r="R179" s="375"/>
      <c r="S179" s="376"/>
      <c r="T179" s="376"/>
      <c r="U179" s="372">
        <f>M179</f>
        <v>43789</v>
      </c>
      <c r="V179" s="374" t="s">
        <v>816</v>
      </c>
      <c r="W179" s="372">
        <v>43781</v>
      </c>
      <c r="X179" s="376" t="s">
        <v>177</v>
      </c>
      <c r="Y179" s="376" t="s">
        <v>177</v>
      </c>
      <c r="Z179" s="372"/>
      <c r="AA179" s="372"/>
      <c r="AB179" s="377">
        <v>43785</v>
      </c>
      <c r="AC179" s="250" t="str">
        <f ca="1">IF(AB179&lt;TODAY()-5,IF(AB179="","Еще рано","Уже не актуально"),IF(AB179&gt;TODAY()-2,"Еще рано","Пора отправлять"))</f>
        <v>Уже не актуально</v>
      </c>
      <c r="AD179" s="251">
        <f t="shared" si="36"/>
        <v>-4</v>
      </c>
      <c r="AE179" s="234"/>
      <c r="AF179" s="255"/>
      <c r="AG179" s="237"/>
      <c r="AH179" s="236"/>
      <c r="AK179" s="255" t="s">
        <v>315</v>
      </c>
      <c r="AL179" s="228"/>
    </row>
    <row r="180" spans="1:38" ht="54.95" customHeight="1">
      <c r="A180" s="297" t="s">
        <v>15</v>
      </c>
      <c r="B180" s="297" t="s">
        <v>20</v>
      </c>
      <c r="C180" s="297" t="s">
        <v>147</v>
      </c>
      <c r="D180" s="297" t="s">
        <v>121</v>
      </c>
      <c r="E180" s="298" t="s">
        <v>132</v>
      </c>
      <c r="F180" s="298"/>
      <c r="G180" s="297" t="s">
        <v>433</v>
      </c>
      <c r="H180" s="299" t="s">
        <v>174</v>
      </c>
      <c r="I180" s="297"/>
      <c r="J180" s="297"/>
      <c r="K180" s="297"/>
      <c r="L180" s="394">
        <v>43748</v>
      </c>
      <c r="M180" s="372">
        <v>43804</v>
      </c>
      <c r="N180" s="372"/>
      <c r="O180" s="395">
        <f>40</f>
        <v>40</v>
      </c>
      <c r="P180" s="373"/>
      <c r="Q180" s="397" t="s">
        <v>203</v>
      </c>
      <c r="R180" s="375"/>
      <c r="S180" s="376"/>
      <c r="T180" s="376"/>
      <c r="U180" s="372">
        <f>M180</f>
        <v>43804</v>
      </c>
      <c r="V180" s="374" t="s">
        <v>821</v>
      </c>
      <c r="W180" s="372">
        <v>43800</v>
      </c>
      <c r="X180" s="376" t="s">
        <v>177</v>
      </c>
      <c r="Y180" s="376" t="s">
        <v>177</v>
      </c>
      <c r="Z180" s="372"/>
      <c r="AA180" s="372"/>
      <c r="AB180" s="377">
        <v>43801</v>
      </c>
      <c r="AC180" s="250" t="str">
        <f ca="1">IF(AB180&lt;TODAY()-5,IF(AB180="","Еще рано","Уже не актуально"),IF(AB180&gt;TODAY()-2,"Еще рано","Пора отправлять"))</f>
        <v>Уже не актуально</v>
      </c>
      <c r="AD180" s="251">
        <f t="shared" si="36"/>
        <v>-3</v>
      </c>
      <c r="AE180" s="234"/>
      <c r="AF180" s="255"/>
      <c r="AG180" s="237"/>
      <c r="AH180" s="236"/>
      <c r="AK180" s="255" t="s">
        <v>315</v>
      </c>
      <c r="AL180" s="228"/>
    </row>
    <row r="181" spans="1:38" ht="54.95" customHeight="1">
      <c r="A181" s="297" t="s">
        <v>15</v>
      </c>
      <c r="B181" s="297" t="s">
        <v>20</v>
      </c>
      <c r="C181" s="297" t="s">
        <v>147</v>
      </c>
      <c r="D181" s="297" t="s">
        <v>121</v>
      </c>
      <c r="E181" s="298" t="s">
        <v>132</v>
      </c>
      <c r="F181" s="298"/>
      <c r="G181" s="297" t="s">
        <v>433</v>
      </c>
      <c r="H181" s="299" t="s">
        <v>175</v>
      </c>
      <c r="I181" s="297"/>
      <c r="J181" s="297"/>
      <c r="K181" s="297"/>
      <c r="L181" s="394">
        <v>43760</v>
      </c>
      <c r="M181" s="372">
        <v>43829</v>
      </c>
      <c r="N181" s="372"/>
      <c r="O181" s="395">
        <f>40</f>
        <v>40</v>
      </c>
      <c r="P181" s="373"/>
      <c r="Q181" s="397" t="s">
        <v>203</v>
      </c>
      <c r="R181" s="375"/>
      <c r="S181" s="376"/>
      <c r="T181" s="376"/>
      <c r="U181" s="372">
        <f>M181</f>
        <v>43829</v>
      </c>
      <c r="V181" s="374" t="s">
        <v>842</v>
      </c>
      <c r="W181" s="372">
        <v>43829</v>
      </c>
      <c r="X181" s="376" t="s">
        <v>177</v>
      </c>
      <c r="Y181" s="376" t="s">
        <v>177</v>
      </c>
      <c r="Z181" s="372"/>
      <c r="AA181" s="372"/>
      <c r="AB181" s="377">
        <v>43833</v>
      </c>
      <c r="AC181" s="250" t="str">
        <f ca="1">IF(AB181&lt;TODAY()-5,IF(AB181="","Еще рано","Уже не актуально"),IF(AB181&gt;TODAY()-2,"Еще рано","Пора отправлять"))</f>
        <v>Уже не актуально</v>
      </c>
      <c r="AD181" s="251">
        <f t="shared" si="36"/>
        <v>4</v>
      </c>
      <c r="AE181" s="234"/>
      <c r="AF181" s="255"/>
      <c r="AG181" s="237"/>
      <c r="AH181" s="236"/>
      <c r="AK181" s="255" t="s">
        <v>315</v>
      </c>
      <c r="AL181" s="228"/>
    </row>
    <row r="182" spans="1:38" ht="54.95" customHeight="1">
      <c r="A182" s="297" t="s">
        <v>15</v>
      </c>
      <c r="B182" s="297" t="s">
        <v>20</v>
      </c>
      <c r="C182" s="297" t="s">
        <v>147</v>
      </c>
      <c r="D182" s="297" t="s">
        <v>121</v>
      </c>
      <c r="E182" s="298" t="s">
        <v>132</v>
      </c>
      <c r="F182" s="298"/>
      <c r="G182" s="297" t="s">
        <v>433</v>
      </c>
      <c r="H182" s="299" t="s">
        <v>178</v>
      </c>
      <c r="I182" s="297"/>
      <c r="J182" s="297"/>
      <c r="K182" s="297"/>
      <c r="L182" s="394">
        <v>43760</v>
      </c>
      <c r="M182" s="372">
        <v>43829</v>
      </c>
      <c r="N182" s="372"/>
      <c r="O182" s="395">
        <f>40</f>
        <v>40</v>
      </c>
      <c r="P182" s="373"/>
      <c r="Q182" s="397" t="s">
        <v>203</v>
      </c>
      <c r="R182" s="375"/>
      <c r="S182" s="376"/>
      <c r="T182" s="376"/>
      <c r="U182" s="372">
        <f>M182+3</f>
        <v>43832</v>
      </c>
      <c r="V182" s="374" t="s">
        <v>842</v>
      </c>
      <c r="W182" s="372">
        <v>43829</v>
      </c>
      <c r="X182" s="376" t="s">
        <v>177</v>
      </c>
      <c r="Y182" s="376" t="s">
        <v>177</v>
      </c>
      <c r="Z182" s="372"/>
      <c r="AA182" s="372"/>
      <c r="AB182" s="377">
        <v>43833</v>
      </c>
      <c r="AC182" s="250" t="str">
        <f ca="1">IF(AB182&lt;TODAY()-5,IF(AB182="","Еще рано","Уже не актуально"),IF(AB182&gt;TODAY()-2,"Еще рано","Пора отправлять"))</f>
        <v>Уже не актуально</v>
      </c>
      <c r="AD182" s="251">
        <f>AB182-M182</f>
        <v>4</v>
      </c>
      <c r="AE182" s="234"/>
      <c r="AF182" s="255"/>
      <c r="AG182" s="237"/>
      <c r="AH182" s="236"/>
      <c r="AK182" s="255" t="s">
        <v>315</v>
      </c>
      <c r="AL182" s="229"/>
    </row>
    <row r="183" spans="1:38" ht="54.95" customHeight="1">
      <c r="A183" s="297" t="s">
        <v>15</v>
      </c>
      <c r="B183" s="297" t="s">
        <v>20</v>
      </c>
      <c r="C183" s="297" t="s">
        <v>147</v>
      </c>
      <c r="D183" s="297" t="s">
        <v>121</v>
      </c>
      <c r="E183" s="298" t="s">
        <v>132</v>
      </c>
      <c r="F183" s="298"/>
      <c r="G183" s="297" t="s">
        <v>433</v>
      </c>
      <c r="H183" s="299" t="s">
        <v>182</v>
      </c>
      <c r="I183" s="297"/>
      <c r="J183" s="297"/>
      <c r="K183" s="297"/>
      <c r="L183" s="394">
        <v>43801</v>
      </c>
      <c r="M183" s="372">
        <v>43910</v>
      </c>
      <c r="N183" s="372"/>
      <c r="O183" s="395">
        <f>40</f>
        <v>40</v>
      </c>
      <c r="P183" s="373"/>
      <c r="Q183" s="397" t="s">
        <v>203</v>
      </c>
      <c r="R183" s="375"/>
      <c r="S183" s="376"/>
      <c r="T183" s="376"/>
      <c r="U183" s="372">
        <v>43951</v>
      </c>
      <c r="V183" s="374" t="str">
        <f ca="1">IF(U183&gt;TODAY(),IF(U183&lt;TODAY()+17,"Пора отправлять","Еще рано"),"Уже не актуально")</f>
        <v>Еще рано</v>
      </c>
      <c r="W183" s="372"/>
      <c r="X183" s="376" t="s">
        <v>895</v>
      </c>
      <c r="Y183" s="376"/>
      <c r="Z183" s="372"/>
      <c r="AA183" s="372"/>
      <c r="AB183" s="377"/>
      <c r="AC183" s="250" t="str">
        <f ca="1">IF(AB183&lt;TODAY()-5,IF(AB183="","Еще рано","Уже не актуально"),IF(AB183&gt;TODAY()-2,"Еще рано","Пора отправлять"))</f>
        <v>Еще рано</v>
      </c>
      <c r="AD183" s="251">
        <f t="shared" si="36"/>
        <v>-43910</v>
      </c>
      <c r="AE183" s="234"/>
      <c r="AF183" s="255"/>
      <c r="AG183" s="237"/>
      <c r="AH183" s="236"/>
      <c r="AK183" s="255" t="s">
        <v>315</v>
      </c>
      <c r="AL183" s="222"/>
    </row>
    <row r="184" spans="1:38" ht="54.95" hidden="1" customHeight="1">
      <c r="A184" s="302" t="s">
        <v>83</v>
      </c>
      <c r="B184" s="302" t="s">
        <v>84</v>
      </c>
      <c r="C184" s="302" t="s">
        <v>148</v>
      </c>
      <c r="D184" s="302" t="s">
        <v>120</v>
      </c>
      <c r="E184" s="302" t="s">
        <v>133</v>
      </c>
      <c r="F184" s="302"/>
      <c r="G184" s="302" t="s">
        <v>282</v>
      </c>
      <c r="H184" s="302" t="s">
        <v>29</v>
      </c>
      <c r="I184" s="302"/>
      <c r="J184" s="302"/>
      <c r="K184" s="302"/>
      <c r="L184" s="398">
        <v>42992</v>
      </c>
      <c r="M184" s="372">
        <f>L184+65</f>
        <v>43057</v>
      </c>
      <c r="N184" s="376">
        <v>43019</v>
      </c>
      <c r="O184" s="398">
        <v>25</v>
      </c>
      <c r="P184" s="373">
        <f>U184-O184</f>
        <v>43085</v>
      </c>
      <c r="Q184" s="374" t="s">
        <v>183</v>
      </c>
      <c r="R184" s="376" t="s">
        <v>254</v>
      </c>
      <c r="S184" s="376" t="s">
        <v>196</v>
      </c>
      <c r="T184" s="376"/>
      <c r="U184" s="372">
        <v>43110</v>
      </c>
      <c r="V184" s="374" t="s">
        <v>202</v>
      </c>
      <c r="W184" s="372">
        <v>43110</v>
      </c>
      <c r="X184" s="372">
        <v>43116</v>
      </c>
      <c r="Y184" s="372">
        <v>43116</v>
      </c>
      <c r="Z184" s="372">
        <v>43096</v>
      </c>
      <c r="AA184" s="372">
        <v>43115</v>
      </c>
      <c r="AB184" s="372">
        <v>43123</v>
      </c>
      <c r="AC184" s="250" t="s">
        <v>222</v>
      </c>
      <c r="AD184" s="251">
        <f t="shared" si="29"/>
        <v>66</v>
      </c>
      <c r="AE184" s="234" t="s">
        <v>221</v>
      </c>
      <c r="AF184" s="234"/>
      <c r="AG184" s="237"/>
      <c r="AH184" s="236"/>
      <c r="AK184" s="255" t="s">
        <v>318</v>
      </c>
      <c r="AL184" s="40"/>
    </row>
    <row r="185" spans="1:38" ht="54.95" hidden="1" customHeight="1">
      <c r="A185" s="302" t="s">
        <v>83</v>
      </c>
      <c r="B185" s="302" t="s">
        <v>84</v>
      </c>
      <c r="C185" s="302" t="s">
        <v>148</v>
      </c>
      <c r="D185" s="302" t="s">
        <v>120</v>
      </c>
      <c r="E185" s="302" t="s">
        <v>133</v>
      </c>
      <c r="F185" s="302"/>
      <c r="G185" s="302" t="s">
        <v>283</v>
      </c>
      <c r="H185" s="302" t="s">
        <v>30</v>
      </c>
      <c r="I185" s="302"/>
      <c r="J185" s="302"/>
      <c r="K185" s="302"/>
      <c r="L185" s="398">
        <v>43042</v>
      </c>
      <c r="M185" s="372">
        <f>L185+65</f>
        <v>43107</v>
      </c>
      <c r="N185" s="376">
        <v>43089</v>
      </c>
      <c r="O185" s="398">
        <v>25</v>
      </c>
      <c r="P185" s="373">
        <f t="shared" ref="P185:P197" si="37">M185-O185</f>
        <v>43082</v>
      </c>
      <c r="Q185" s="374" t="str">
        <f t="shared" ref="Q185:Q191" ca="1" si="38">IF(P185&gt;=TODAY()-5,IF(P185&lt;TODAY()+6,"Пора отправлять","Еще рано"),"Уже не актуально")</f>
        <v>Уже не актуально</v>
      </c>
      <c r="R185" s="375" t="s">
        <v>228</v>
      </c>
      <c r="S185" s="399" t="s">
        <v>196</v>
      </c>
      <c r="T185" s="376"/>
      <c r="U185" s="376">
        <v>43205</v>
      </c>
      <c r="V185" s="374" t="s">
        <v>242</v>
      </c>
      <c r="W185" s="372">
        <v>43215</v>
      </c>
      <c r="X185" s="372">
        <v>43213</v>
      </c>
      <c r="Y185" s="372">
        <v>43216</v>
      </c>
      <c r="Z185" s="372">
        <v>43216</v>
      </c>
      <c r="AA185" s="372">
        <v>43216</v>
      </c>
      <c r="AB185" s="372">
        <v>43218</v>
      </c>
      <c r="AC185" s="250" t="str">
        <f ca="1">IF(AB185&lt;TODAY()-5,IF(AB185="","Еще рано","Уже не актуально"),IF(AB185&gt;TODAY()-2,"Еще рано","Пора отправлять"))</f>
        <v>Уже не актуально</v>
      </c>
      <c r="AD185" s="251">
        <f t="shared" si="29"/>
        <v>111</v>
      </c>
      <c r="AE185" s="304" t="s">
        <v>271</v>
      </c>
      <c r="AF185" s="234"/>
      <c r="AG185" s="237"/>
      <c r="AH185" s="236"/>
      <c r="AK185" s="255" t="s">
        <v>318</v>
      </c>
      <c r="AL185" s="40"/>
    </row>
    <row r="186" spans="1:38" ht="54.95" hidden="1" customHeight="1">
      <c r="A186" s="302" t="s">
        <v>83</v>
      </c>
      <c r="B186" s="302" t="s">
        <v>84</v>
      </c>
      <c r="C186" s="302" t="s">
        <v>148</v>
      </c>
      <c r="D186" s="302" t="s">
        <v>120</v>
      </c>
      <c r="E186" s="302" t="s">
        <v>133</v>
      </c>
      <c r="F186" s="302"/>
      <c r="G186" s="302" t="s">
        <v>283</v>
      </c>
      <c r="H186" s="302" t="s">
        <v>320</v>
      </c>
      <c r="I186" s="302"/>
      <c r="J186" s="303">
        <v>43042</v>
      </c>
      <c r="K186" s="302" t="s">
        <v>29</v>
      </c>
      <c r="L186" s="398">
        <v>43129</v>
      </c>
      <c r="M186" s="372">
        <v>43221</v>
      </c>
      <c r="N186" s="376">
        <v>43136</v>
      </c>
      <c r="O186" s="398">
        <v>25</v>
      </c>
      <c r="P186" s="373">
        <f t="shared" si="37"/>
        <v>43196</v>
      </c>
      <c r="Q186" s="374" t="str">
        <f t="shared" ca="1" si="38"/>
        <v>Уже не актуально</v>
      </c>
      <c r="R186" s="375" t="s">
        <v>228</v>
      </c>
      <c r="S186" s="399" t="s">
        <v>196</v>
      </c>
      <c r="T186" s="376" t="s">
        <v>227</v>
      </c>
      <c r="U186" s="372">
        <v>43271</v>
      </c>
      <c r="V186" s="374" t="s">
        <v>298</v>
      </c>
      <c r="W186" s="376">
        <v>43271</v>
      </c>
      <c r="X186" s="376">
        <v>43283</v>
      </c>
      <c r="Y186" s="376">
        <v>43283</v>
      </c>
      <c r="Z186" s="372" t="s">
        <v>111</v>
      </c>
      <c r="AA186" s="372">
        <v>43286</v>
      </c>
      <c r="AB186" s="385">
        <v>43288</v>
      </c>
      <c r="AC186" s="250" t="s">
        <v>323</v>
      </c>
      <c r="AD186" s="251">
        <f t="shared" si="29"/>
        <v>67</v>
      </c>
      <c r="AE186" s="234" t="s">
        <v>313</v>
      </c>
      <c r="AF186" s="305"/>
      <c r="AG186" s="237"/>
      <c r="AH186" s="236"/>
      <c r="AK186" s="255" t="s">
        <v>318</v>
      </c>
      <c r="AL186" s="40"/>
    </row>
    <row r="187" spans="1:38" ht="54.95" hidden="1" customHeight="1">
      <c r="A187" s="302" t="s">
        <v>83</v>
      </c>
      <c r="B187" s="302" t="s">
        <v>84</v>
      </c>
      <c r="C187" s="302" t="s">
        <v>148</v>
      </c>
      <c r="D187" s="302" t="s">
        <v>120</v>
      </c>
      <c r="E187" s="302" t="s">
        <v>133</v>
      </c>
      <c r="F187" s="302"/>
      <c r="G187" s="302" t="s">
        <v>283</v>
      </c>
      <c r="H187" s="302" t="s">
        <v>322</v>
      </c>
      <c r="I187" s="306"/>
      <c r="J187" s="307"/>
      <c r="K187" s="302" t="s">
        <v>29</v>
      </c>
      <c r="L187" s="398" t="s">
        <v>345</v>
      </c>
      <c r="M187" s="372">
        <v>43221</v>
      </c>
      <c r="N187" s="376">
        <v>43136</v>
      </c>
      <c r="O187" s="398">
        <v>26</v>
      </c>
      <c r="P187" s="373">
        <f t="shared" si="37"/>
        <v>43195</v>
      </c>
      <c r="Q187" s="374" t="str">
        <f t="shared" ca="1" si="38"/>
        <v>Уже не актуально</v>
      </c>
      <c r="R187" s="375" t="s">
        <v>228</v>
      </c>
      <c r="S187" s="399" t="s">
        <v>196</v>
      </c>
      <c r="T187" s="376" t="s">
        <v>227</v>
      </c>
      <c r="U187" s="372">
        <v>43272</v>
      </c>
      <c r="V187" s="374" t="s">
        <v>321</v>
      </c>
      <c r="W187" s="376">
        <v>43271</v>
      </c>
      <c r="X187" s="376">
        <v>43283</v>
      </c>
      <c r="Y187" s="376">
        <v>43283</v>
      </c>
      <c r="Z187" s="372" t="s">
        <v>111</v>
      </c>
      <c r="AA187" s="372">
        <v>43287</v>
      </c>
      <c r="AB187" s="385">
        <v>43293</v>
      </c>
      <c r="AC187" s="250" t="s">
        <v>323</v>
      </c>
      <c r="AD187" s="251">
        <f t="shared" si="29"/>
        <v>72</v>
      </c>
      <c r="AE187" s="234" t="s">
        <v>324</v>
      </c>
      <c r="AF187" s="305"/>
      <c r="AG187" s="237"/>
      <c r="AH187" s="236"/>
      <c r="AK187" s="255" t="s">
        <v>318</v>
      </c>
      <c r="AL187" s="151"/>
    </row>
    <row r="188" spans="1:38" ht="54.95" hidden="1" customHeight="1">
      <c r="A188" s="302" t="s">
        <v>83</v>
      </c>
      <c r="B188" s="302" t="s">
        <v>84</v>
      </c>
      <c r="C188" s="302" t="s">
        <v>148</v>
      </c>
      <c r="D188" s="302" t="s">
        <v>120</v>
      </c>
      <c r="E188" s="302" t="s">
        <v>133</v>
      </c>
      <c r="F188" s="302"/>
      <c r="G188" s="302" t="s">
        <v>283</v>
      </c>
      <c r="H188" s="302" t="s">
        <v>88</v>
      </c>
      <c r="I188" s="306"/>
      <c r="J188" s="307"/>
      <c r="K188" s="302"/>
      <c r="L188" s="398">
        <v>43227</v>
      </c>
      <c r="M188" s="372">
        <v>43281</v>
      </c>
      <c r="N188" s="376">
        <v>43137</v>
      </c>
      <c r="O188" s="398">
        <v>25</v>
      </c>
      <c r="P188" s="373">
        <f t="shared" si="37"/>
        <v>43256</v>
      </c>
      <c r="Q188" s="374" t="str">
        <f t="shared" ca="1" si="38"/>
        <v>Уже не актуально</v>
      </c>
      <c r="R188" s="375" t="s">
        <v>228</v>
      </c>
      <c r="S188" s="399" t="s">
        <v>196</v>
      </c>
      <c r="T188" s="376" t="s">
        <v>227</v>
      </c>
      <c r="U188" s="372">
        <v>43306</v>
      </c>
      <c r="V188" s="374" t="s">
        <v>309</v>
      </c>
      <c r="W188" s="376">
        <v>43311</v>
      </c>
      <c r="X188" s="376">
        <v>43317</v>
      </c>
      <c r="Y188" s="372" t="s">
        <v>302</v>
      </c>
      <c r="Z188" s="376" t="s">
        <v>111</v>
      </c>
      <c r="AA188" s="376" t="s">
        <v>111</v>
      </c>
      <c r="AB188" s="385">
        <v>43317</v>
      </c>
      <c r="AC188" s="250" t="s">
        <v>351</v>
      </c>
      <c r="AD188" s="251">
        <f t="shared" si="29"/>
        <v>36</v>
      </c>
      <c r="AE188" s="234"/>
      <c r="AF188" s="255"/>
      <c r="AG188" s="237"/>
      <c r="AH188" s="236"/>
      <c r="AK188" s="255" t="s">
        <v>318</v>
      </c>
      <c r="AL188" s="126"/>
    </row>
    <row r="189" spans="1:38" ht="54.95" hidden="1" customHeight="1">
      <c r="A189" s="302" t="s">
        <v>83</v>
      </c>
      <c r="B189" s="302" t="s">
        <v>84</v>
      </c>
      <c r="C189" s="302" t="s">
        <v>148</v>
      </c>
      <c r="D189" s="302" t="s">
        <v>120</v>
      </c>
      <c r="E189" s="302" t="s">
        <v>133</v>
      </c>
      <c r="F189" s="302"/>
      <c r="G189" s="302" t="s">
        <v>283</v>
      </c>
      <c r="H189" s="302" t="s">
        <v>26</v>
      </c>
      <c r="I189" s="306"/>
      <c r="J189" s="307"/>
      <c r="K189" s="302"/>
      <c r="L189" s="398">
        <v>43259</v>
      </c>
      <c r="M189" s="372">
        <v>43332</v>
      </c>
      <c r="N189" s="376">
        <v>43283</v>
      </c>
      <c r="O189" s="398">
        <v>25</v>
      </c>
      <c r="P189" s="373">
        <f t="shared" si="37"/>
        <v>43307</v>
      </c>
      <c r="Q189" s="374" t="str">
        <f t="shared" ca="1" si="38"/>
        <v>Уже не актуально</v>
      </c>
      <c r="R189" s="375" t="s">
        <v>228</v>
      </c>
      <c r="S189" s="399" t="s">
        <v>196</v>
      </c>
      <c r="T189" s="376" t="s">
        <v>227</v>
      </c>
      <c r="U189" s="372">
        <v>43337</v>
      </c>
      <c r="V189" s="374" t="s">
        <v>352</v>
      </c>
      <c r="W189" s="376">
        <v>43339</v>
      </c>
      <c r="X189" s="376">
        <v>43346</v>
      </c>
      <c r="Y189" s="376" t="s">
        <v>111</v>
      </c>
      <c r="Z189" s="376" t="s">
        <v>111</v>
      </c>
      <c r="AA189" s="376" t="s">
        <v>111</v>
      </c>
      <c r="AB189" s="385">
        <v>43382</v>
      </c>
      <c r="AC189" s="250" t="s">
        <v>203</v>
      </c>
      <c r="AD189" s="251">
        <f t="shared" si="29"/>
        <v>50</v>
      </c>
      <c r="AE189" s="234" t="s">
        <v>442</v>
      </c>
      <c r="AF189" s="255"/>
      <c r="AG189" s="237"/>
      <c r="AH189" s="236"/>
      <c r="AK189" s="255" t="s">
        <v>318</v>
      </c>
      <c r="AL189" s="148"/>
    </row>
    <row r="190" spans="1:38" ht="54.95" hidden="1" customHeight="1">
      <c r="A190" s="302" t="s">
        <v>83</v>
      </c>
      <c r="B190" s="302" t="s">
        <v>84</v>
      </c>
      <c r="C190" s="302" t="s">
        <v>148</v>
      </c>
      <c r="D190" s="302" t="s">
        <v>120</v>
      </c>
      <c r="E190" s="302" t="s">
        <v>133</v>
      </c>
      <c r="F190" s="302"/>
      <c r="G190" s="302" t="s">
        <v>467</v>
      </c>
      <c r="H190" s="302" t="s">
        <v>27</v>
      </c>
      <c r="I190" s="306"/>
      <c r="J190" s="307"/>
      <c r="K190" s="302"/>
      <c r="L190" s="398">
        <v>43311</v>
      </c>
      <c r="M190" s="372">
        <v>43363</v>
      </c>
      <c r="N190" s="376" t="s">
        <v>111</v>
      </c>
      <c r="O190" s="398">
        <v>25</v>
      </c>
      <c r="P190" s="373">
        <f t="shared" si="37"/>
        <v>43338</v>
      </c>
      <c r="Q190" s="374" t="str">
        <f t="shared" ca="1" si="38"/>
        <v>Уже не актуально</v>
      </c>
      <c r="R190" s="375" t="s">
        <v>11</v>
      </c>
      <c r="S190" s="399" t="s">
        <v>196</v>
      </c>
      <c r="T190" s="376" t="s">
        <v>227</v>
      </c>
      <c r="U190" s="372">
        <v>43395</v>
      </c>
      <c r="V190" s="397" t="s">
        <v>444</v>
      </c>
      <c r="W190" s="376">
        <v>43394</v>
      </c>
      <c r="X190" s="376">
        <v>43398</v>
      </c>
      <c r="Y190" s="376">
        <v>43399</v>
      </c>
      <c r="Z190" s="376" t="s">
        <v>111</v>
      </c>
      <c r="AA190" s="376" t="s">
        <v>111</v>
      </c>
      <c r="AB190" s="385">
        <v>43411</v>
      </c>
      <c r="AC190" s="250" t="s">
        <v>470</v>
      </c>
      <c r="AD190" s="251">
        <f t="shared" si="29"/>
        <v>48</v>
      </c>
      <c r="AE190" s="234" t="s">
        <v>466</v>
      </c>
      <c r="AF190" s="255"/>
      <c r="AG190" s="237"/>
      <c r="AH190" s="236"/>
      <c r="AK190" s="255" t="s">
        <v>318</v>
      </c>
      <c r="AL190" s="154"/>
    </row>
    <row r="191" spans="1:38" ht="54.95" hidden="1" customHeight="1">
      <c r="A191" s="302" t="s">
        <v>83</v>
      </c>
      <c r="B191" s="302" t="s">
        <v>84</v>
      </c>
      <c r="C191" s="302" t="s">
        <v>512</v>
      </c>
      <c r="D191" s="302" t="s">
        <v>741</v>
      </c>
      <c r="E191" s="302" t="s">
        <v>133</v>
      </c>
      <c r="F191" s="302"/>
      <c r="G191" s="302" t="s">
        <v>283</v>
      </c>
      <c r="H191" s="302" t="s">
        <v>135</v>
      </c>
      <c r="I191" s="306"/>
      <c r="J191" s="307"/>
      <c r="K191" s="302"/>
      <c r="L191" s="398">
        <v>43391</v>
      </c>
      <c r="M191" s="372">
        <v>43419</v>
      </c>
      <c r="N191" s="376"/>
      <c r="O191" s="398">
        <f>25</f>
        <v>25</v>
      </c>
      <c r="P191" s="373">
        <f t="shared" si="37"/>
        <v>43394</v>
      </c>
      <c r="Q191" s="374" t="str">
        <f t="shared" ca="1" si="38"/>
        <v>Уже не актуально</v>
      </c>
      <c r="R191" s="375" t="s">
        <v>11</v>
      </c>
      <c r="S191" s="399" t="s">
        <v>196</v>
      </c>
      <c r="T191" s="376"/>
      <c r="U191" s="372">
        <v>43424</v>
      </c>
      <c r="V191" s="397" t="s">
        <v>472</v>
      </c>
      <c r="W191" s="376">
        <v>43423</v>
      </c>
      <c r="X191" s="376" t="s">
        <v>177</v>
      </c>
      <c r="Y191" s="376" t="s">
        <v>177</v>
      </c>
      <c r="Z191" s="376" t="s">
        <v>111</v>
      </c>
      <c r="AA191" s="376" t="s">
        <v>111</v>
      </c>
      <c r="AB191" s="385">
        <v>43526</v>
      </c>
      <c r="AC191" s="250" t="s">
        <v>562</v>
      </c>
      <c r="AD191" s="251">
        <f t="shared" si="29"/>
        <v>107</v>
      </c>
      <c r="AE191" s="234" t="s">
        <v>561</v>
      </c>
      <c r="AF191" s="255"/>
      <c r="AG191" s="237"/>
      <c r="AH191" s="236"/>
      <c r="AK191" s="255" t="s">
        <v>318</v>
      </c>
      <c r="AL191" s="173"/>
    </row>
    <row r="192" spans="1:38" ht="54.95" customHeight="1">
      <c r="A192" s="302" t="s">
        <v>83</v>
      </c>
      <c r="B192" s="302" t="s">
        <v>84</v>
      </c>
      <c r="C192" s="302" t="s">
        <v>512</v>
      </c>
      <c r="D192" s="302" t="s">
        <v>741</v>
      </c>
      <c r="E192" s="302" t="s">
        <v>133</v>
      </c>
      <c r="F192" s="302"/>
      <c r="G192" s="302" t="s">
        <v>433</v>
      </c>
      <c r="H192" s="302" t="s">
        <v>256</v>
      </c>
      <c r="I192" s="306"/>
      <c r="J192" s="307"/>
      <c r="K192" s="302" t="s">
        <v>660</v>
      </c>
      <c r="L192" s="398">
        <v>43487</v>
      </c>
      <c r="M192" s="372">
        <v>43544</v>
      </c>
      <c r="N192" s="376"/>
      <c r="O192" s="398">
        <f>25</f>
        <v>25</v>
      </c>
      <c r="P192" s="373">
        <f t="shared" si="37"/>
        <v>43519</v>
      </c>
      <c r="Q192" s="374" t="s">
        <v>547</v>
      </c>
      <c r="R192" s="375" t="s">
        <v>572</v>
      </c>
      <c r="S192" s="376"/>
      <c r="T192" s="376"/>
      <c r="U192" s="372">
        <v>43605</v>
      </c>
      <c r="V192" s="397" t="str">
        <f ca="1">IF(U192&gt;TODAY(),IF(U192&lt;TODAY()+17,"Пора отправлять","Еще рано"),"Уже не актуально")</f>
        <v>Уже не актуально</v>
      </c>
      <c r="W192" s="376">
        <v>43605</v>
      </c>
      <c r="X192" s="376">
        <v>43605</v>
      </c>
      <c r="Y192" s="376">
        <v>43607</v>
      </c>
      <c r="Z192" s="376"/>
      <c r="AA192" s="376" t="str">
        <f>IF(Z192="","Рано","Когда?")</f>
        <v>Рано</v>
      </c>
      <c r="AB192" s="385">
        <v>43614</v>
      </c>
      <c r="AC192" s="250" t="s">
        <v>678</v>
      </c>
      <c r="AD192" s="251">
        <f t="shared" si="29"/>
        <v>70</v>
      </c>
      <c r="AE192" s="234" t="s">
        <v>573</v>
      </c>
      <c r="AF192" s="255"/>
      <c r="AG192" s="237"/>
      <c r="AH192" s="236"/>
      <c r="AK192" s="255" t="s">
        <v>318</v>
      </c>
      <c r="AL192" s="193"/>
    </row>
    <row r="193" spans="1:38" ht="54.95" customHeight="1">
      <c r="A193" s="302" t="s">
        <v>83</v>
      </c>
      <c r="B193" s="302" t="s">
        <v>84</v>
      </c>
      <c r="C193" s="302" t="s">
        <v>512</v>
      </c>
      <c r="D193" s="302" t="s">
        <v>741</v>
      </c>
      <c r="E193" s="302" t="s">
        <v>133</v>
      </c>
      <c r="F193" s="302"/>
      <c r="G193" s="302" t="s">
        <v>433</v>
      </c>
      <c r="H193" s="302" t="s">
        <v>295</v>
      </c>
      <c r="I193" s="306"/>
      <c r="J193" s="307"/>
      <c r="K193" s="302" t="s">
        <v>659</v>
      </c>
      <c r="L193" s="398">
        <v>43546</v>
      </c>
      <c r="M193" s="372">
        <v>43591</v>
      </c>
      <c r="N193" s="376">
        <v>43560</v>
      </c>
      <c r="O193" s="398">
        <v>25</v>
      </c>
      <c r="P193" s="373">
        <f t="shared" si="37"/>
        <v>43566</v>
      </c>
      <c r="Q193" s="374" t="str">
        <f ca="1">IF(P193&gt;=TODAY()-5,IF(P193&lt;TODAY()+6,"Пора отправлять","Еще рано"),"Уже не актуально")</f>
        <v>Уже не актуально</v>
      </c>
      <c r="R193" s="375" t="s">
        <v>572</v>
      </c>
      <c r="S193" s="376"/>
      <c r="T193" s="376"/>
      <c r="U193" s="372">
        <v>43599</v>
      </c>
      <c r="V193" s="397" t="s">
        <v>286</v>
      </c>
      <c r="W193" s="376">
        <v>43605</v>
      </c>
      <c r="X193" s="376">
        <v>43605</v>
      </c>
      <c r="Y193" s="376">
        <v>43607</v>
      </c>
      <c r="Z193" s="376"/>
      <c r="AA193" s="376" t="str">
        <f>IF(Z193="","Рано","Когда?")</f>
        <v>Рано</v>
      </c>
      <c r="AB193" s="385">
        <v>43614</v>
      </c>
      <c r="AC193" s="250" t="s">
        <v>678</v>
      </c>
      <c r="AD193" s="251">
        <f>AB193-M193</f>
        <v>23</v>
      </c>
      <c r="AE193" s="234"/>
      <c r="AF193" s="255"/>
      <c r="AG193" s="237"/>
      <c r="AH193" s="236"/>
      <c r="AK193" s="255" t="s">
        <v>318</v>
      </c>
      <c r="AL193" s="228"/>
    </row>
    <row r="194" spans="1:38" ht="54.95" customHeight="1">
      <c r="A194" s="302" t="s">
        <v>83</v>
      </c>
      <c r="B194" s="302" t="s">
        <v>84</v>
      </c>
      <c r="C194" s="302" t="s">
        <v>512</v>
      </c>
      <c r="D194" s="302" t="s">
        <v>741</v>
      </c>
      <c r="E194" s="302" t="s">
        <v>133</v>
      </c>
      <c r="F194" s="302"/>
      <c r="G194" s="302" t="s">
        <v>433</v>
      </c>
      <c r="H194" s="302" t="s">
        <v>353</v>
      </c>
      <c r="I194" s="306"/>
      <c r="J194" s="307"/>
      <c r="K194" s="302" t="s">
        <v>87</v>
      </c>
      <c r="L194" s="398">
        <v>43665</v>
      </c>
      <c r="M194" s="372">
        <v>43692</v>
      </c>
      <c r="N194" s="376"/>
      <c r="O194" s="398">
        <v>25</v>
      </c>
      <c r="P194" s="373">
        <f t="shared" si="37"/>
        <v>43667</v>
      </c>
      <c r="Q194" s="374" t="str">
        <f ca="1">IF(P194&gt;=TODAY()-5,IF(P194&lt;TODAY()+6,"Пора отправлять","Еще рано"),"Уже не актуально")</f>
        <v>Уже не актуально</v>
      </c>
      <c r="R194" s="375" t="s">
        <v>572</v>
      </c>
      <c r="S194" s="376"/>
      <c r="T194" s="376"/>
      <c r="U194" s="372">
        <f>M194</f>
        <v>43692</v>
      </c>
      <c r="V194" s="374" t="str">
        <f ca="1">IF(U194&gt;TODAY(),IF(U194&lt;TODAY()+17,"Пора отправлять","Еще рано"),"Уже не актуально")</f>
        <v>Уже не актуально</v>
      </c>
      <c r="W194" s="376">
        <v>43763</v>
      </c>
      <c r="X194" s="372">
        <v>43774</v>
      </c>
      <c r="Y194" s="372">
        <v>43774</v>
      </c>
      <c r="Z194" s="376"/>
      <c r="AA194" s="376" t="str">
        <f>IF(Z194="","Рано","Когда?")</f>
        <v>Рано</v>
      </c>
      <c r="AB194" s="385">
        <v>43780</v>
      </c>
      <c r="AC194" s="250" t="str">
        <f ca="1">IF(AB194&lt;TODAY()-5,IF(AB194="","Еще рано","Уже не актуально"),IF(AB194&gt;TODAY()-2,"Еще рано","Пора отправлять"))</f>
        <v>Уже не актуально</v>
      </c>
      <c r="AD194" s="251">
        <f>AB194-M194</f>
        <v>88</v>
      </c>
      <c r="AE194" s="234"/>
      <c r="AF194" s="255"/>
      <c r="AG194" s="237"/>
      <c r="AH194" s="236"/>
      <c r="AK194" s="255" t="s">
        <v>318</v>
      </c>
      <c r="AL194" s="204"/>
    </row>
    <row r="195" spans="1:38" ht="54.95" hidden="1" customHeight="1">
      <c r="A195" s="308" t="s">
        <v>83</v>
      </c>
      <c r="B195" s="308" t="s">
        <v>233</v>
      </c>
      <c r="C195" s="308" t="s">
        <v>148</v>
      </c>
      <c r="D195" s="309" t="s">
        <v>120</v>
      </c>
      <c r="E195" s="308" t="s">
        <v>133</v>
      </c>
      <c r="F195" s="308"/>
      <c r="G195" s="308" t="s">
        <v>283</v>
      </c>
      <c r="H195" s="308" t="s">
        <v>29</v>
      </c>
      <c r="I195" s="235"/>
      <c r="J195" s="235"/>
      <c r="K195" s="308" t="s">
        <v>291</v>
      </c>
      <c r="L195" s="400">
        <v>43132</v>
      </c>
      <c r="M195" s="372">
        <v>43240</v>
      </c>
      <c r="N195" s="376" t="s">
        <v>111</v>
      </c>
      <c r="O195" s="400">
        <v>25</v>
      </c>
      <c r="P195" s="373">
        <f t="shared" si="37"/>
        <v>43215</v>
      </c>
      <c r="Q195" s="374" t="s">
        <v>272</v>
      </c>
      <c r="R195" s="375" t="s">
        <v>11</v>
      </c>
      <c r="S195" s="399" t="s">
        <v>196</v>
      </c>
      <c r="T195" s="376"/>
      <c r="U195" s="372">
        <v>43258</v>
      </c>
      <c r="V195" s="374" t="s">
        <v>280</v>
      </c>
      <c r="W195" s="376">
        <v>43266</v>
      </c>
      <c r="X195" s="376">
        <v>43270</v>
      </c>
      <c r="Y195" s="376">
        <v>43272</v>
      </c>
      <c r="Z195" s="376">
        <v>43242</v>
      </c>
      <c r="AA195" s="376" t="s">
        <v>111</v>
      </c>
      <c r="AB195" s="385">
        <v>43277</v>
      </c>
      <c r="AC195" s="250" t="s">
        <v>323</v>
      </c>
      <c r="AD195" s="251">
        <f t="shared" si="29"/>
        <v>37</v>
      </c>
      <c r="AE195" s="234" t="s">
        <v>344</v>
      </c>
      <c r="AF195" s="234"/>
      <c r="AG195" s="237"/>
      <c r="AH195" s="236"/>
      <c r="AK195" s="255" t="s">
        <v>318</v>
      </c>
      <c r="AL195" s="40"/>
    </row>
    <row r="196" spans="1:38" ht="54.95" hidden="1" customHeight="1">
      <c r="A196" s="308" t="s">
        <v>83</v>
      </c>
      <c r="B196" s="308" t="s">
        <v>233</v>
      </c>
      <c r="C196" s="308" t="s">
        <v>512</v>
      </c>
      <c r="D196" s="308" t="s">
        <v>741</v>
      </c>
      <c r="E196" s="308" t="s">
        <v>133</v>
      </c>
      <c r="F196" s="308"/>
      <c r="G196" s="308" t="s">
        <v>283</v>
      </c>
      <c r="H196" s="308" t="s">
        <v>30</v>
      </c>
      <c r="I196" s="235"/>
      <c r="J196" s="235"/>
      <c r="K196" s="308"/>
      <c r="L196" s="400">
        <v>43132</v>
      </c>
      <c r="M196" s="372">
        <v>43291</v>
      </c>
      <c r="N196" s="376" t="s">
        <v>111</v>
      </c>
      <c r="O196" s="400">
        <v>25</v>
      </c>
      <c r="P196" s="373">
        <f t="shared" si="37"/>
        <v>43266</v>
      </c>
      <c r="Q196" s="374" t="s">
        <v>294</v>
      </c>
      <c r="R196" s="375" t="s">
        <v>11</v>
      </c>
      <c r="S196" s="399" t="s">
        <v>196</v>
      </c>
      <c r="T196" s="376"/>
      <c r="U196" s="372">
        <v>43311</v>
      </c>
      <c r="V196" s="374" t="s">
        <v>323</v>
      </c>
      <c r="W196" s="376">
        <v>43316</v>
      </c>
      <c r="X196" s="376">
        <v>43317</v>
      </c>
      <c r="Y196" s="372">
        <v>43342</v>
      </c>
      <c r="Z196" s="376" t="s">
        <v>111</v>
      </c>
      <c r="AA196" s="376" t="s">
        <v>111</v>
      </c>
      <c r="AB196" s="385">
        <v>43348</v>
      </c>
      <c r="AC196" s="250" t="s">
        <v>371</v>
      </c>
      <c r="AD196" s="251">
        <f t="shared" si="29"/>
        <v>57</v>
      </c>
      <c r="AE196" s="234" t="s">
        <v>369</v>
      </c>
      <c r="AF196" s="255"/>
      <c r="AG196" s="237"/>
      <c r="AH196" s="236"/>
      <c r="AK196" s="255" t="s">
        <v>318</v>
      </c>
      <c r="AL196" s="40"/>
    </row>
    <row r="197" spans="1:38" ht="54.95" hidden="1" customHeight="1">
      <c r="A197" s="310" t="s">
        <v>576</v>
      </c>
      <c r="B197" s="308" t="s">
        <v>233</v>
      </c>
      <c r="C197" s="308" t="s">
        <v>512</v>
      </c>
      <c r="D197" s="308" t="s">
        <v>741</v>
      </c>
      <c r="E197" s="308" t="s">
        <v>133</v>
      </c>
      <c r="F197" s="308"/>
      <c r="G197" s="308" t="s">
        <v>433</v>
      </c>
      <c r="H197" s="308" t="s">
        <v>87</v>
      </c>
      <c r="I197" s="235"/>
      <c r="J197" s="235"/>
      <c r="K197" s="308"/>
      <c r="L197" s="400">
        <v>43381</v>
      </c>
      <c r="M197" s="372">
        <v>43429</v>
      </c>
      <c r="N197" s="376" t="s">
        <v>749</v>
      </c>
      <c r="O197" s="400">
        <v>25</v>
      </c>
      <c r="P197" s="373">
        <f t="shared" si="37"/>
        <v>43404</v>
      </c>
      <c r="Q197" s="374" t="str">
        <f ca="1">IF(P197&gt;=TODAY()-5,IF(P197&lt;TODAY()+6,"Пора отправлять","Еще рано"),"Уже не актуально")</f>
        <v>Уже не актуально</v>
      </c>
      <c r="R197" s="375" t="s">
        <v>11</v>
      </c>
      <c r="S197" s="376"/>
      <c r="T197" s="376"/>
      <c r="U197" s="372">
        <v>43615</v>
      </c>
      <c r="V197" s="397" t="s">
        <v>670</v>
      </c>
      <c r="W197" s="376">
        <v>43619</v>
      </c>
      <c r="X197" s="376" t="s">
        <v>177</v>
      </c>
      <c r="Y197" s="376" t="s">
        <v>177</v>
      </c>
      <c r="Z197" s="376"/>
      <c r="AA197" s="399" t="str">
        <f>IF(Z197="","Рано","Когда?")</f>
        <v>Рано</v>
      </c>
      <c r="AB197" s="385">
        <v>43636</v>
      </c>
      <c r="AC197" s="301" t="str">
        <f ca="1">IF(AB197&lt;TODAY()-5,IF(AB197="","Еще рано","Уже не актуально"),IF(AB197&gt;TODAY()-2,"Еще рано","Пора отправлять"))</f>
        <v>Уже не актуально</v>
      </c>
      <c r="AD197" s="251">
        <f t="shared" si="29"/>
        <v>207</v>
      </c>
      <c r="AE197" s="311" t="s">
        <v>577</v>
      </c>
      <c r="AF197" s="255"/>
      <c r="AG197" s="237"/>
      <c r="AH197" s="236"/>
      <c r="AK197" s="312" t="s">
        <v>579</v>
      </c>
      <c r="AL197" s="170"/>
    </row>
    <row r="198" spans="1:38" ht="54.95" hidden="1" customHeight="1">
      <c r="A198" s="310" t="s">
        <v>576</v>
      </c>
      <c r="B198" s="308" t="s">
        <v>233</v>
      </c>
      <c r="C198" s="308" t="s">
        <v>512</v>
      </c>
      <c r="D198" s="308" t="s">
        <v>741</v>
      </c>
      <c r="E198" s="308" t="s">
        <v>133</v>
      </c>
      <c r="F198" s="308"/>
      <c r="G198" s="308" t="s">
        <v>433</v>
      </c>
      <c r="H198" s="308" t="s">
        <v>88</v>
      </c>
      <c r="I198" s="235"/>
      <c r="J198" s="235"/>
      <c r="K198" s="308"/>
      <c r="L198" s="400">
        <v>43480</v>
      </c>
      <c r="M198" s="372">
        <v>43539</v>
      </c>
      <c r="N198" s="376" t="s">
        <v>749</v>
      </c>
      <c r="O198" s="400">
        <v>25</v>
      </c>
      <c r="P198" s="373">
        <f t="shared" ref="P198:P206" si="39">M198-O198</f>
        <v>43514</v>
      </c>
      <c r="Q198" s="374" t="str">
        <f ca="1">IF(P198&gt;=TODAY()-5,IF(P198&lt;TODAY()+6,"Пора отправлять","Еще рано"),"Уже не актуально")</f>
        <v>Уже не актуально</v>
      </c>
      <c r="R198" s="375">
        <v>43564</v>
      </c>
      <c r="S198" s="376" t="s">
        <v>609</v>
      </c>
      <c r="T198" s="376"/>
      <c r="U198" s="372">
        <v>43582</v>
      </c>
      <c r="V198" s="374" t="s">
        <v>610</v>
      </c>
      <c r="W198" s="376">
        <v>43582</v>
      </c>
      <c r="X198" s="376" t="s">
        <v>177</v>
      </c>
      <c r="Y198" s="376" t="s">
        <v>177</v>
      </c>
      <c r="Z198" s="376"/>
      <c r="AA198" s="399" t="str">
        <f>IF(Z198="","Рано","Когда?")</f>
        <v>Рано</v>
      </c>
      <c r="AB198" s="385">
        <v>43579</v>
      </c>
      <c r="AC198" s="301" t="s">
        <v>645</v>
      </c>
      <c r="AD198" s="251">
        <f>AB198-M198</f>
        <v>40</v>
      </c>
      <c r="AE198" s="234" t="s">
        <v>624</v>
      </c>
      <c r="AF198" s="255"/>
      <c r="AG198" s="237"/>
      <c r="AH198" s="236"/>
      <c r="AK198" s="312" t="s">
        <v>579</v>
      </c>
      <c r="AL198" s="188"/>
    </row>
    <row r="199" spans="1:38" ht="54.95" customHeight="1">
      <c r="A199" s="310" t="s">
        <v>576</v>
      </c>
      <c r="B199" s="310" t="s">
        <v>233</v>
      </c>
      <c r="C199" s="310" t="s">
        <v>512</v>
      </c>
      <c r="D199" s="310" t="s">
        <v>741</v>
      </c>
      <c r="E199" s="310" t="s">
        <v>133</v>
      </c>
      <c r="F199" s="310"/>
      <c r="G199" s="310" t="s">
        <v>433</v>
      </c>
      <c r="H199" s="310" t="s">
        <v>26</v>
      </c>
      <c r="I199" s="235"/>
      <c r="J199" s="235"/>
      <c r="K199" s="310" t="s">
        <v>87</v>
      </c>
      <c r="L199" s="401">
        <v>43685</v>
      </c>
      <c r="M199" s="402">
        <v>43713</v>
      </c>
      <c r="N199" s="399">
        <v>43705</v>
      </c>
      <c r="O199" s="401">
        <v>25</v>
      </c>
      <c r="P199" s="403">
        <f>M199-O199</f>
        <v>43688</v>
      </c>
      <c r="Q199" s="397" t="str">
        <f ca="1">IF(P199&gt;=TODAY()-5,IF(P199&lt;TODAY()+6,"Пора отправлять","Еще рано"),"Уже не актуально")</f>
        <v>Уже не актуально</v>
      </c>
      <c r="R199" s="404" t="s">
        <v>11</v>
      </c>
      <c r="S199" s="399"/>
      <c r="T199" s="399"/>
      <c r="U199" s="402">
        <v>43730</v>
      </c>
      <c r="V199" s="397" t="s">
        <v>747</v>
      </c>
      <c r="W199" s="399">
        <v>43730</v>
      </c>
      <c r="X199" s="399" t="s">
        <v>177</v>
      </c>
      <c r="Y199" s="399" t="s">
        <v>177</v>
      </c>
      <c r="Z199" s="399"/>
      <c r="AA199" s="399"/>
      <c r="AB199" s="405">
        <v>43733</v>
      </c>
      <c r="AC199" s="301" t="str">
        <f ca="1">IF(AB199&lt;TODAY()-5,IF(AB199="","Еще рано","Уже не актуально"),IF(AB199&gt;TODAY()-2,"Еще рано","Пора отправлять"))</f>
        <v>Уже не актуально</v>
      </c>
      <c r="AD199" s="313">
        <f>AB199-M199</f>
        <v>20</v>
      </c>
      <c r="AE199" s="234"/>
      <c r="AF199" s="314"/>
      <c r="AG199" s="315"/>
      <c r="AH199" s="315"/>
      <c r="AI199" s="316"/>
      <c r="AJ199" s="316"/>
      <c r="AK199" s="314" t="s">
        <v>579</v>
      </c>
      <c r="AL199" s="228"/>
    </row>
    <row r="200" spans="1:38" ht="54.95" customHeight="1">
      <c r="A200" s="310" t="s">
        <v>576</v>
      </c>
      <c r="B200" s="310" t="s">
        <v>233</v>
      </c>
      <c r="C200" s="310" t="s">
        <v>512</v>
      </c>
      <c r="D200" s="310" t="s">
        <v>741</v>
      </c>
      <c r="E200" s="310" t="s">
        <v>133</v>
      </c>
      <c r="F200" s="310"/>
      <c r="G200" s="310" t="s">
        <v>433</v>
      </c>
      <c r="H200" s="308" t="s">
        <v>27</v>
      </c>
      <c r="I200" s="272"/>
      <c r="J200" s="272"/>
      <c r="K200" s="308" t="s">
        <v>756</v>
      </c>
      <c r="L200" s="400">
        <v>43761</v>
      </c>
      <c r="M200" s="372">
        <v>43789</v>
      </c>
      <c r="N200" s="376"/>
      <c r="O200" s="401">
        <v>25</v>
      </c>
      <c r="P200" s="403">
        <f>M200-O200</f>
        <v>43764</v>
      </c>
      <c r="Q200" s="397" t="str">
        <f ca="1">IF(P200&gt;=TODAY()-5,IF(P200&lt;TODAY()+6,"Пора отправлять","Еще рано"),"Уже не актуально")</f>
        <v>Уже не актуально</v>
      </c>
      <c r="R200" s="375"/>
      <c r="S200" s="376"/>
      <c r="T200" s="376"/>
      <c r="U200" s="372">
        <f>M200</f>
        <v>43789</v>
      </c>
      <c r="V200" s="374" t="str">
        <f ca="1">IF(U200&gt;TODAY(),IF(U200&lt;TODAY()+17,"Пора отправлять","Еще рано"),"Уже не актуально")</f>
        <v>Уже не актуально</v>
      </c>
      <c r="W200" s="376">
        <v>43805</v>
      </c>
      <c r="X200" s="399" t="s">
        <v>177</v>
      </c>
      <c r="Y200" s="399" t="s">
        <v>177</v>
      </c>
      <c r="Z200" s="376"/>
      <c r="AA200" s="376"/>
      <c r="AB200" s="405" t="s">
        <v>856</v>
      </c>
      <c r="AC200" s="250" t="str">
        <f ca="1">IF(AB200&lt;TODAY()-5,IF(AB200="","Еще рано","Уже не актуально"),IF(AB200&gt;TODAY()-2,"Еще рано","Пора отправлять"))</f>
        <v>Еще рано</v>
      </c>
      <c r="AD200" s="317" t="e">
        <f>AB200-M200</f>
        <v>#VALUE!</v>
      </c>
      <c r="AE200" s="318">
        <v>13</v>
      </c>
      <c r="AF200" s="314"/>
      <c r="AG200" s="315"/>
      <c r="AH200" s="315"/>
      <c r="AI200" s="316"/>
      <c r="AJ200" s="316"/>
      <c r="AK200" s="314" t="s">
        <v>579</v>
      </c>
      <c r="AL200" s="228"/>
    </row>
    <row r="201" spans="1:38" ht="54.95" hidden="1" customHeight="1">
      <c r="A201" s="319" t="s">
        <v>83</v>
      </c>
      <c r="B201" s="320" t="s">
        <v>509</v>
      </c>
      <c r="C201" s="320" t="s">
        <v>510</v>
      </c>
      <c r="D201" s="321" t="s">
        <v>551</v>
      </c>
      <c r="E201" s="319" t="s">
        <v>511</v>
      </c>
      <c r="F201" s="320"/>
      <c r="G201" s="320" t="s">
        <v>433</v>
      </c>
      <c r="H201" s="320" t="s">
        <v>29</v>
      </c>
      <c r="I201" s="322"/>
      <c r="J201" s="322"/>
      <c r="K201" s="320" t="s">
        <v>277</v>
      </c>
      <c r="L201" s="406"/>
      <c r="M201" s="407">
        <v>43549</v>
      </c>
      <c r="N201" s="408">
        <v>43490</v>
      </c>
      <c r="O201" s="408">
        <v>25</v>
      </c>
      <c r="P201" s="409">
        <f t="shared" si="39"/>
        <v>43524</v>
      </c>
      <c r="Q201" s="410" t="s">
        <v>550</v>
      </c>
      <c r="R201" s="411" t="s">
        <v>228</v>
      </c>
      <c r="S201" s="408" t="s">
        <v>508</v>
      </c>
      <c r="T201" s="408"/>
      <c r="U201" s="407">
        <v>43549</v>
      </c>
      <c r="V201" s="410" t="s">
        <v>571</v>
      </c>
      <c r="W201" s="408">
        <v>43548</v>
      </c>
      <c r="X201" s="379">
        <v>43553</v>
      </c>
      <c r="Y201" s="407" t="s">
        <v>618</v>
      </c>
      <c r="Z201" s="379" t="s">
        <v>228</v>
      </c>
      <c r="AA201" s="408" t="s">
        <v>228</v>
      </c>
      <c r="AB201" s="412">
        <v>43584</v>
      </c>
      <c r="AC201" s="323" t="s">
        <v>649</v>
      </c>
      <c r="AD201" s="264">
        <f t="shared" si="29"/>
        <v>35</v>
      </c>
      <c r="AE201" s="234" t="s">
        <v>619</v>
      </c>
      <c r="AF201" s="255"/>
      <c r="AG201" s="237"/>
      <c r="AH201" s="236"/>
      <c r="AK201" s="255" t="s">
        <v>318</v>
      </c>
      <c r="AL201" s="190"/>
    </row>
    <row r="202" spans="1:38" ht="54.95" hidden="1" customHeight="1">
      <c r="A202" s="324" t="s">
        <v>83</v>
      </c>
      <c r="B202" s="325" t="s">
        <v>509</v>
      </c>
      <c r="C202" s="325" t="s">
        <v>510</v>
      </c>
      <c r="D202" s="326" t="s">
        <v>551</v>
      </c>
      <c r="E202" s="324" t="s">
        <v>511</v>
      </c>
      <c r="F202" s="325"/>
      <c r="G202" s="325" t="s">
        <v>433</v>
      </c>
      <c r="H202" s="325" t="s">
        <v>30</v>
      </c>
      <c r="I202" s="322"/>
      <c r="J202" s="322"/>
      <c r="K202" s="325" t="s">
        <v>668</v>
      </c>
      <c r="L202" s="413">
        <v>43490</v>
      </c>
      <c r="M202" s="402">
        <v>43577</v>
      </c>
      <c r="N202" s="399"/>
      <c r="O202" s="399">
        <v>25</v>
      </c>
      <c r="P202" s="403">
        <f t="shared" si="39"/>
        <v>43552</v>
      </c>
      <c r="Q202" s="397" t="str">
        <f ca="1">IF(P202&gt;=TODAY()-5,IF(P202&lt;TODAY()+6,"Пора отправлять","Еще рано"),"Уже не актуально")</f>
        <v>Уже не актуально</v>
      </c>
      <c r="R202" s="404" t="s">
        <v>228</v>
      </c>
      <c r="S202" s="399" t="s">
        <v>655</v>
      </c>
      <c r="T202" s="399"/>
      <c r="U202" s="402">
        <v>43595</v>
      </c>
      <c r="V202" s="397" t="s">
        <v>645</v>
      </c>
      <c r="W202" s="399">
        <v>43600</v>
      </c>
      <c r="X202" s="376">
        <v>43602</v>
      </c>
      <c r="Y202" s="402">
        <v>43606</v>
      </c>
      <c r="Z202" s="376"/>
      <c r="AA202" s="399" t="str">
        <f>IF(Z202="","Рано","Когда?")</f>
        <v>Рано</v>
      </c>
      <c r="AB202" s="405">
        <v>43614</v>
      </c>
      <c r="AC202" s="301" t="s">
        <v>678</v>
      </c>
      <c r="AD202" s="251">
        <f>AB202-M202</f>
        <v>37</v>
      </c>
      <c r="AE202" s="234" t="s">
        <v>669</v>
      </c>
      <c r="AF202" s="255"/>
      <c r="AG202" s="237"/>
      <c r="AH202" s="236"/>
      <c r="AK202" s="255" t="s">
        <v>318</v>
      </c>
      <c r="AL202" s="191"/>
    </row>
    <row r="203" spans="1:38" ht="54.95" hidden="1" customHeight="1">
      <c r="A203" s="324" t="s">
        <v>83</v>
      </c>
      <c r="B203" s="325" t="s">
        <v>509</v>
      </c>
      <c r="C203" s="325" t="s">
        <v>510</v>
      </c>
      <c r="D203" s="326" t="s">
        <v>551</v>
      </c>
      <c r="E203" s="324" t="s">
        <v>511</v>
      </c>
      <c r="F203" s="325"/>
      <c r="G203" s="325" t="s">
        <v>433</v>
      </c>
      <c r="H203" s="325" t="s">
        <v>87</v>
      </c>
      <c r="I203" s="322"/>
      <c r="J203" s="322"/>
      <c r="K203" s="325" t="s">
        <v>716</v>
      </c>
      <c r="L203" s="413">
        <v>43622</v>
      </c>
      <c r="M203" s="402">
        <v>43645</v>
      </c>
      <c r="N203" s="399"/>
      <c r="O203" s="399">
        <v>25</v>
      </c>
      <c r="P203" s="403">
        <f t="shared" si="39"/>
        <v>43620</v>
      </c>
      <c r="Q203" s="397" t="s">
        <v>203</v>
      </c>
      <c r="R203" s="404" t="s">
        <v>228</v>
      </c>
      <c r="S203" s="399"/>
      <c r="T203" s="399"/>
      <c r="U203" s="402">
        <f>M203</f>
        <v>43645</v>
      </c>
      <c r="V203" s="397" t="s">
        <v>687</v>
      </c>
      <c r="W203" s="399">
        <v>43645</v>
      </c>
      <c r="X203" s="376">
        <v>43651</v>
      </c>
      <c r="Y203" s="402">
        <v>43652</v>
      </c>
      <c r="Z203" s="376"/>
      <c r="AA203" s="399" t="str">
        <f>IF(Z203="","Рано","Когда?")</f>
        <v>Рано</v>
      </c>
      <c r="AB203" s="405">
        <v>43670</v>
      </c>
      <c r="AC203" s="301" t="str">
        <f ca="1">IF(AB203&lt;TODAY()-5,IF(AB203="","Еще рано","Уже не актуально"),IF(AB203&gt;TODAY()-2,"Еще рано","Пора отправлять"))</f>
        <v>Уже не актуально</v>
      </c>
      <c r="AD203" s="251">
        <f>AB203-M203</f>
        <v>25</v>
      </c>
      <c r="AE203" s="234"/>
      <c r="AF203" s="255" t="s">
        <v>696</v>
      </c>
      <c r="AG203" s="237"/>
      <c r="AH203" s="236"/>
      <c r="AK203" s="255" t="s">
        <v>318</v>
      </c>
      <c r="AL203" s="211"/>
    </row>
    <row r="204" spans="1:38" ht="54.95" customHeight="1">
      <c r="A204" s="324" t="s">
        <v>83</v>
      </c>
      <c r="B204" s="325" t="s">
        <v>509</v>
      </c>
      <c r="C204" s="325" t="s">
        <v>510</v>
      </c>
      <c r="D204" s="326" t="s">
        <v>551</v>
      </c>
      <c r="E204" s="324" t="s">
        <v>511</v>
      </c>
      <c r="F204" s="325"/>
      <c r="G204" s="325" t="s">
        <v>433</v>
      </c>
      <c r="H204" s="325" t="s">
        <v>88</v>
      </c>
      <c r="I204" s="322"/>
      <c r="J204" s="322"/>
      <c r="K204" s="325" t="s">
        <v>752</v>
      </c>
      <c r="L204" s="413">
        <v>43676</v>
      </c>
      <c r="M204" s="402">
        <v>43697</v>
      </c>
      <c r="N204" s="399">
        <v>43699</v>
      </c>
      <c r="O204" s="399">
        <v>25</v>
      </c>
      <c r="P204" s="403">
        <f t="shared" si="39"/>
        <v>43672</v>
      </c>
      <c r="Q204" s="397" t="str">
        <f t="shared" ref="Q204:Q215" ca="1" si="40">IF(P204&gt;=TODAY()-5,IF(P204&lt;TODAY()+6,"Пора отправлять","Еще рано"),"Уже не актуально")</f>
        <v>Уже не актуально</v>
      </c>
      <c r="R204" s="404" t="s">
        <v>228</v>
      </c>
      <c r="S204" s="399"/>
      <c r="T204" s="399"/>
      <c r="U204" s="402">
        <v>43718</v>
      </c>
      <c r="V204" s="397" t="s">
        <v>751</v>
      </c>
      <c r="W204" s="399">
        <v>43718</v>
      </c>
      <c r="X204" s="376">
        <v>43728</v>
      </c>
      <c r="Y204" s="376">
        <v>43728</v>
      </c>
      <c r="Z204" s="376"/>
      <c r="AA204" s="399"/>
      <c r="AB204" s="405">
        <v>43738</v>
      </c>
      <c r="AC204" s="301" t="str">
        <f ca="1">IF(AB204&lt;TODAY()-5,IF(AB204="","Еще рано","Уже не актуально"),IF(AB204&gt;TODAY()-2,"Еще рано","Пора отправлять"))</f>
        <v>Уже не актуально</v>
      </c>
      <c r="AD204" s="251">
        <f>AB204-M204</f>
        <v>41</v>
      </c>
      <c r="AE204" s="234" t="s">
        <v>761</v>
      </c>
      <c r="AF204" s="255"/>
      <c r="AG204" s="237"/>
      <c r="AH204" s="236"/>
      <c r="AK204" s="255" t="s">
        <v>318</v>
      </c>
      <c r="AL204" s="219"/>
    </row>
    <row r="205" spans="1:38" ht="54.95" customHeight="1">
      <c r="A205" s="324" t="s">
        <v>83</v>
      </c>
      <c r="B205" s="325" t="s">
        <v>509</v>
      </c>
      <c r="C205" s="325" t="s">
        <v>510</v>
      </c>
      <c r="D205" s="326" t="s">
        <v>551</v>
      </c>
      <c r="E205" s="324" t="s">
        <v>511</v>
      </c>
      <c r="F205" s="325"/>
      <c r="G205" s="325" t="s">
        <v>433</v>
      </c>
      <c r="H205" s="325" t="s">
        <v>26</v>
      </c>
      <c r="I205" s="322"/>
      <c r="J205" s="322"/>
      <c r="K205" s="325"/>
      <c r="L205" s="413">
        <v>43712</v>
      </c>
      <c r="M205" s="402">
        <v>43753</v>
      </c>
      <c r="N205" s="399" t="s">
        <v>748</v>
      </c>
      <c r="O205" s="399">
        <v>24</v>
      </c>
      <c r="P205" s="403">
        <f>M205-O205</f>
        <v>43729</v>
      </c>
      <c r="Q205" s="397" t="str">
        <f ca="1">IF(P205&gt;=TODAY()-5,IF(P205&lt;TODAY()+6,"Пора отправлять","Еще рано"),"Уже не актуально")</f>
        <v>Уже не актуально</v>
      </c>
      <c r="R205" s="404" t="s">
        <v>228</v>
      </c>
      <c r="S205" s="399"/>
      <c r="T205" s="399"/>
      <c r="U205" s="402">
        <f>M205</f>
        <v>43753</v>
      </c>
      <c r="V205" s="397" t="s">
        <v>805</v>
      </c>
      <c r="W205" s="399">
        <v>43753</v>
      </c>
      <c r="X205" s="376">
        <v>43763</v>
      </c>
      <c r="Y205" s="399">
        <v>43766</v>
      </c>
      <c r="Z205" s="376"/>
      <c r="AA205" s="399"/>
      <c r="AB205" s="399">
        <v>43766</v>
      </c>
      <c r="AC205" s="301" t="str">
        <f ca="1">IF(AB205&lt;TODAY()-5,IF(AB205="","Еще рано","Уже не актуально"),IF(AB205&gt;TODAY()-2,"Еще рано","Пора отправлять"))</f>
        <v>Уже не актуально</v>
      </c>
      <c r="AD205" s="251">
        <f>AB205-M205</f>
        <v>13</v>
      </c>
      <c r="AE205" s="234" t="s">
        <v>806</v>
      </c>
      <c r="AF205" s="255"/>
      <c r="AG205" s="237"/>
      <c r="AH205" s="236"/>
      <c r="AK205" s="255" t="s">
        <v>318</v>
      </c>
      <c r="AL205" s="228"/>
    </row>
    <row r="206" spans="1:38" ht="57">
      <c r="A206" s="324" t="s">
        <v>83</v>
      </c>
      <c r="B206" s="325" t="s">
        <v>509</v>
      </c>
      <c r="C206" s="325" t="s">
        <v>510</v>
      </c>
      <c r="D206" s="326" t="s">
        <v>551</v>
      </c>
      <c r="E206" s="324" t="s">
        <v>807</v>
      </c>
      <c r="F206" s="325" t="s">
        <v>157</v>
      </c>
      <c r="G206" s="325" t="s">
        <v>433</v>
      </c>
      <c r="H206" s="325" t="s">
        <v>27</v>
      </c>
      <c r="I206" s="322"/>
      <c r="J206" s="322"/>
      <c r="K206" s="325"/>
      <c r="L206" s="413">
        <v>43770</v>
      </c>
      <c r="M206" s="402">
        <v>43809</v>
      </c>
      <c r="N206" s="399"/>
      <c r="O206" s="399">
        <v>25</v>
      </c>
      <c r="P206" s="403">
        <f t="shared" si="39"/>
        <v>43784</v>
      </c>
      <c r="Q206" s="397" t="str">
        <f t="shared" ca="1" si="40"/>
        <v>Уже не актуально</v>
      </c>
      <c r="R206" s="404" t="s">
        <v>228</v>
      </c>
      <c r="S206" s="399"/>
      <c r="T206" s="399"/>
      <c r="U206" s="402">
        <f>M206+8</f>
        <v>43817</v>
      </c>
      <c r="V206" s="374" t="s">
        <v>822</v>
      </c>
      <c r="W206" s="399">
        <v>43817</v>
      </c>
      <c r="X206" s="376">
        <v>43835</v>
      </c>
      <c r="Y206" s="399">
        <v>43837</v>
      </c>
      <c r="Z206" s="376"/>
      <c r="AA206" s="399"/>
      <c r="AB206" s="416" t="s">
        <v>907</v>
      </c>
      <c r="AC206" s="301" t="str">
        <f ca="1">IF(AB206&lt;TODAY()-5,IF(AB206="","Еще рано","Уже не актуально"),IF(AB206&gt;TODAY()-2,"Еще рано","Пора отправлять"))</f>
        <v>Еще рано</v>
      </c>
      <c r="AD206" s="251" t="e">
        <f>AB206-M206</f>
        <v>#VALUE!</v>
      </c>
      <c r="AE206" s="234" t="s">
        <v>862</v>
      </c>
      <c r="AF206" s="255"/>
      <c r="AG206" s="237"/>
      <c r="AH206" s="236"/>
      <c r="AK206" s="255" t="s">
        <v>318</v>
      </c>
    </row>
    <row r="207" spans="1:38" ht="57">
      <c r="A207" s="324" t="s">
        <v>83</v>
      </c>
      <c r="B207" s="325" t="s">
        <v>509</v>
      </c>
      <c r="C207" s="325" t="s">
        <v>510</v>
      </c>
      <c r="D207" s="326" t="s">
        <v>551</v>
      </c>
      <c r="E207" s="324" t="s">
        <v>807</v>
      </c>
      <c r="F207" s="325" t="s">
        <v>157</v>
      </c>
      <c r="G207" s="325" t="s">
        <v>433</v>
      </c>
      <c r="H207" s="325" t="s">
        <v>896</v>
      </c>
      <c r="I207" s="322"/>
      <c r="J207" s="322"/>
      <c r="K207" s="325"/>
      <c r="L207" s="413">
        <v>43868</v>
      </c>
      <c r="M207" s="402">
        <v>43946</v>
      </c>
      <c r="N207" s="399"/>
      <c r="O207" s="399"/>
      <c r="P207" s="403"/>
      <c r="Q207" s="397"/>
      <c r="R207" s="404"/>
      <c r="S207" s="399"/>
      <c r="T207" s="399"/>
      <c r="U207" s="402">
        <f>M207</f>
        <v>43946</v>
      </c>
      <c r="V207" s="397" t="str">
        <f ca="1">IF(U207&gt;TODAY(),IF(U207&lt;TODAY()+17,"Пора отправлять","Еще рано"),"Уже не актуально")</f>
        <v>Еще рано</v>
      </c>
      <c r="W207" s="399"/>
      <c r="X207" s="376" t="str">
        <f ca="1">IF(U207&lt;=TODAY()+10,"Пора","Рано")</f>
        <v>Рано</v>
      </c>
      <c r="Y207" s="399"/>
      <c r="Z207" s="376"/>
      <c r="AA207" s="399"/>
      <c r="AB207" s="405"/>
      <c r="AC207" s="301" t="str">
        <f ca="1">IF(AB207&lt;TODAY()-5,IF(AB207="","Еще рано","Уже не актуально"),IF(AB207&gt;TODAY()-2,"Еще рано","Пора отправлять"))</f>
        <v>Еще рано</v>
      </c>
      <c r="AD207" s="251"/>
      <c r="AE207" s="234"/>
      <c r="AF207" s="255"/>
      <c r="AG207" s="237"/>
      <c r="AH207" s="236"/>
      <c r="AK207" s="255"/>
    </row>
    <row r="208" spans="1:38" ht="14.25">
      <c r="A208" s="325"/>
      <c r="B208" s="325"/>
      <c r="C208" s="325"/>
      <c r="D208" s="326"/>
      <c r="E208" s="325"/>
      <c r="F208" s="325"/>
      <c r="G208" s="325"/>
      <c r="H208" s="325"/>
      <c r="I208" s="322"/>
      <c r="J208" s="322"/>
      <c r="K208" s="325"/>
      <c r="L208" s="413"/>
      <c r="M208" s="402"/>
      <c r="N208" s="399"/>
      <c r="O208" s="399"/>
      <c r="P208" s="403"/>
      <c r="Q208" s="397"/>
      <c r="R208" s="404"/>
      <c r="S208" s="399"/>
      <c r="T208" s="399"/>
      <c r="U208" s="402"/>
      <c r="V208" s="397"/>
      <c r="W208" s="399"/>
      <c r="X208" s="376"/>
      <c r="Y208" s="399"/>
      <c r="Z208" s="376"/>
      <c r="AA208" s="399"/>
      <c r="AB208" s="405"/>
      <c r="AC208" s="301"/>
      <c r="AD208" s="251"/>
      <c r="AE208" s="234"/>
      <c r="AF208" s="255"/>
      <c r="AG208" s="237"/>
      <c r="AH208" s="236"/>
      <c r="AK208" s="255"/>
    </row>
    <row r="209" spans="1:38" ht="54.95" hidden="1" customHeight="1">
      <c r="A209" s="327" t="s">
        <v>336</v>
      </c>
      <c r="B209" s="327" t="s">
        <v>337</v>
      </c>
      <c r="C209" s="328" t="s">
        <v>338</v>
      </c>
      <c r="D209" s="329" t="s">
        <v>340</v>
      </c>
      <c r="E209" s="328" t="s">
        <v>339</v>
      </c>
      <c r="F209" s="328"/>
      <c r="G209" s="328" t="s">
        <v>283</v>
      </c>
      <c r="H209" s="328" t="s">
        <v>29</v>
      </c>
      <c r="I209" s="330"/>
      <c r="J209" s="330"/>
      <c r="K209" s="328"/>
      <c r="L209" s="399">
        <v>43305</v>
      </c>
      <c r="M209" s="402">
        <v>43373</v>
      </c>
      <c r="N209" s="399">
        <v>43334</v>
      </c>
      <c r="O209" s="399">
        <v>35</v>
      </c>
      <c r="P209" s="403">
        <f t="shared" ref="P209:P215" si="41">M209-O209</f>
        <v>43338</v>
      </c>
      <c r="Q209" s="397" t="str">
        <f t="shared" ca="1" si="40"/>
        <v>Уже не актуально</v>
      </c>
      <c r="R209" s="414">
        <v>43416</v>
      </c>
      <c r="S209" s="376" t="s">
        <v>655</v>
      </c>
      <c r="T209" s="399"/>
      <c r="U209" s="402">
        <v>43439</v>
      </c>
      <c r="V209" s="397" t="s">
        <v>478</v>
      </c>
      <c r="W209" s="399">
        <v>43439</v>
      </c>
      <c r="X209" s="376">
        <v>43444</v>
      </c>
      <c r="Y209" s="399">
        <v>43448</v>
      </c>
      <c r="Z209" s="376" t="s">
        <v>111</v>
      </c>
      <c r="AA209" s="376" t="s">
        <v>111</v>
      </c>
      <c r="AB209" s="405">
        <v>43450</v>
      </c>
      <c r="AC209" s="301" t="s">
        <v>214</v>
      </c>
      <c r="AD209" s="251">
        <f t="shared" si="29"/>
        <v>77</v>
      </c>
      <c r="AE209" s="234" t="s">
        <v>514</v>
      </c>
      <c r="AF209" s="278"/>
      <c r="AG209" s="237"/>
      <c r="AH209" s="236"/>
      <c r="AK209" s="255" t="s">
        <v>341</v>
      </c>
      <c r="AL209" s="40"/>
    </row>
    <row r="210" spans="1:38" ht="54.95" hidden="1" customHeight="1">
      <c r="A210" s="327" t="s">
        <v>336</v>
      </c>
      <c r="B210" s="327" t="s">
        <v>337</v>
      </c>
      <c r="C210" s="328" t="s">
        <v>338</v>
      </c>
      <c r="D210" s="329" t="s">
        <v>340</v>
      </c>
      <c r="E210" s="328" t="s">
        <v>736</v>
      </c>
      <c r="F210" s="331" t="s">
        <v>157</v>
      </c>
      <c r="G210" s="328" t="s">
        <v>283</v>
      </c>
      <c r="H210" s="328" t="s">
        <v>30</v>
      </c>
      <c r="I210" s="330"/>
      <c r="J210" s="330"/>
      <c r="K210" s="328"/>
      <c r="L210" s="399">
        <v>43425</v>
      </c>
      <c r="M210" s="402">
        <v>43466</v>
      </c>
      <c r="N210" s="399"/>
      <c r="O210" s="399">
        <v>35</v>
      </c>
      <c r="P210" s="403">
        <f t="shared" si="41"/>
        <v>43431</v>
      </c>
      <c r="Q210" s="397" t="str">
        <f t="shared" ca="1" si="40"/>
        <v>Уже не актуально</v>
      </c>
      <c r="R210" s="414">
        <v>43480</v>
      </c>
      <c r="S210" s="376" t="s">
        <v>655</v>
      </c>
      <c r="T210" s="399"/>
      <c r="U210" s="402">
        <v>43496</v>
      </c>
      <c r="V210" s="397" t="s">
        <v>203</v>
      </c>
      <c r="W210" s="399">
        <v>43494</v>
      </c>
      <c r="X210" s="376">
        <v>43495</v>
      </c>
      <c r="Y210" s="399">
        <v>43495</v>
      </c>
      <c r="Z210" s="376" t="s">
        <v>111</v>
      </c>
      <c r="AA210" s="376" t="s">
        <v>111</v>
      </c>
      <c r="AB210" s="405">
        <v>43509</v>
      </c>
      <c r="AC210" s="301" t="s">
        <v>532</v>
      </c>
      <c r="AD210" s="251">
        <f>AB210-M210</f>
        <v>43</v>
      </c>
      <c r="AE210" s="234" t="s">
        <v>513</v>
      </c>
      <c r="AF210" s="278"/>
      <c r="AG210" s="237"/>
      <c r="AH210" s="236"/>
      <c r="AK210" s="255" t="s">
        <v>341</v>
      </c>
      <c r="AL210" s="186"/>
    </row>
    <row r="211" spans="1:38" ht="54.95" hidden="1" customHeight="1">
      <c r="A211" s="327" t="s">
        <v>336</v>
      </c>
      <c r="B211" s="327" t="s">
        <v>337</v>
      </c>
      <c r="C211" s="328" t="s">
        <v>338</v>
      </c>
      <c r="D211" s="329" t="s">
        <v>340</v>
      </c>
      <c r="E211" s="328" t="s">
        <v>736</v>
      </c>
      <c r="F211" s="331" t="s">
        <v>157</v>
      </c>
      <c r="G211" s="328" t="s">
        <v>548</v>
      </c>
      <c r="H211" s="328" t="s">
        <v>87</v>
      </c>
      <c r="I211" s="330"/>
      <c r="J211" s="330"/>
      <c r="K211" s="328"/>
      <c r="L211" s="399">
        <v>43459</v>
      </c>
      <c r="M211" s="402">
        <v>43501</v>
      </c>
      <c r="N211" s="399"/>
      <c r="O211" s="399">
        <v>35</v>
      </c>
      <c r="P211" s="403">
        <f t="shared" si="41"/>
        <v>43466</v>
      </c>
      <c r="Q211" s="397" t="str">
        <f t="shared" ca="1" si="40"/>
        <v>Уже не актуально</v>
      </c>
      <c r="R211" s="414" t="s">
        <v>622</v>
      </c>
      <c r="S211" s="376" t="s">
        <v>655</v>
      </c>
      <c r="T211" s="399"/>
      <c r="U211" s="402">
        <v>43555</v>
      </c>
      <c r="V211" s="397" t="s">
        <v>591</v>
      </c>
      <c r="W211" s="399">
        <v>43556</v>
      </c>
      <c r="X211" s="376">
        <v>43557</v>
      </c>
      <c r="Y211" s="399">
        <v>43558</v>
      </c>
      <c r="Z211" s="376"/>
      <c r="AA211" s="399" t="str">
        <f>IF(Z211="","Рано","Когда?")</f>
        <v>Рано</v>
      </c>
      <c r="AB211" s="405">
        <v>43559</v>
      </c>
      <c r="AC211" s="301" t="str">
        <f ca="1">IF(AB211&lt;TODAY()-5,IF(AB211="","Еще рано","Уже не актуально"),IF(AB211&gt;TODAY()-2,"Еще рано","Пора отправлять"))</f>
        <v>Уже не актуально</v>
      </c>
      <c r="AD211" s="251">
        <f>AB211-M211</f>
        <v>58</v>
      </c>
      <c r="AE211" s="234" t="s">
        <v>513</v>
      </c>
      <c r="AF211" s="278"/>
      <c r="AG211" s="237"/>
      <c r="AH211" s="236"/>
      <c r="AK211" s="255" t="s">
        <v>341</v>
      </c>
      <c r="AL211" s="186"/>
    </row>
    <row r="212" spans="1:38" ht="54.95" hidden="1" customHeight="1">
      <c r="A212" s="327" t="s">
        <v>336</v>
      </c>
      <c r="B212" s="327" t="s">
        <v>337</v>
      </c>
      <c r="C212" s="328" t="s">
        <v>338</v>
      </c>
      <c r="D212" s="329" t="s">
        <v>340</v>
      </c>
      <c r="E212" s="328" t="s">
        <v>736</v>
      </c>
      <c r="F212" s="331" t="s">
        <v>157</v>
      </c>
      <c r="G212" s="328" t="s">
        <v>433</v>
      </c>
      <c r="H212" s="328" t="s">
        <v>88</v>
      </c>
      <c r="I212" s="330"/>
      <c r="J212" s="330"/>
      <c r="K212" s="328"/>
      <c r="L212" s="399">
        <v>43558</v>
      </c>
      <c r="M212" s="402">
        <v>43603</v>
      </c>
      <c r="N212" s="399"/>
      <c r="O212" s="399">
        <v>35</v>
      </c>
      <c r="P212" s="403">
        <f t="shared" si="41"/>
        <v>43568</v>
      </c>
      <c r="Q212" s="397" t="str">
        <f t="shared" ca="1" si="40"/>
        <v>Уже не актуально</v>
      </c>
      <c r="R212" s="414" t="s">
        <v>661</v>
      </c>
      <c r="S212" s="399"/>
      <c r="T212" s="399"/>
      <c r="U212" s="402">
        <f>M212</f>
        <v>43603</v>
      </c>
      <c r="V212" s="397" t="s">
        <v>286</v>
      </c>
      <c r="W212" s="399">
        <v>43603</v>
      </c>
      <c r="X212" s="376">
        <v>43611</v>
      </c>
      <c r="Y212" s="399">
        <v>43641</v>
      </c>
      <c r="Z212" s="376"/>
      <c r="AA212" s="399" t="str">
        <f>IF(Z212="","Рано","Когда?")</f>
        <v>Рано</v>
      </c>
      <c r="AB212" s="405">
        <v>43644</v>
      </c>
      <c r="AC212" s="301" t="s">
        <v>712</v>
      </c>
      <c r="AD212" s="251">
        <f>AB212-M212</f>
        <v>41</v>
      </c>
      <c r="AE212" s="332" t="s">
        <v>672</v>
      </c>
      <c r="AF212" s="278"/>
      <c r="AG212" s="237"/>
      <c r="AH212" s="236"/>
      <c r="AK212" s="255" t="s">
        <v>341</v>
      </c>
      <c r="AL212" s="203"/>
    </row>
    <row r="213" spans="1:38" ht="54.95" hidden="1" customHeight="1">
      <c r="A213" s="333" t="s">
        <v>429</v>
      </c>
      <c r="B213" s="299" t="s">
        <v>430</v>
      </c>
      <c r="C213" s="299" t="s">
        <v>431</v>
      </c>
      <c r="D213" s="299" t="s">
        <v>432</v>
      </c>
      <c r="E213" s="299" t="s">
        <v>339</v>
      </c>
      <c r="F213" s="299"/>
      <c r="G213" s="299" t="s">
        <v>433</v>
      </c>
      <c r="H213" s="299" t="s">
        <v>29</v>
      </c>
      <c r="I213" s="299"/>
      <c r="J213" s="299"/>
      <c r="K213" s="299" t="s">
        <v>464</v>
      </c>
      <c r="L213" s="394">
        <v>43369</v>
      </c>
      <c r="M213" s="372">
        <v>43414</v>
      </c>
      <c r="N213" s="376"/>
      <c r="O213" s="394">
        <v>25</v>
      </c>
      <c r="P213" s="403">
        <f t="shared" si="41"/>
        <v>43389</v>
      </c>
      <c r="Q213" s="397" t="str">
        <f t="shared" ca="1" si="40"/>
        <v>Уже не актуально</v>
      </c>
      <c r="R213" s="415" t="s">
        <v>228</v>
      </c>
      <c r="S213" s="399" t="s">
        <v>196</v>
      </c>
      <c r="T213" s="399"/>
      <c r="U213" s="402">
        <v>43433</v>
      </c>
      <c r="V213" s="397" t="s">
        <v>474</v>
      </c>
      <c r="W213" s="399">
        <v>43433</v>
      </c>
      <c r="X213" s="399">
        <v>43440</v>
      </c>
      <c r="Y213" s="376" t="s">
        <v>111</v>
      </c>
      <c r="Z213" s="376" t="s">
        <v>111</v>
      </c>
      <c r="AA213" s="376" t="s">
        <v>111</v>
      </c>
      <c r="AB213" s="405">
        <v>43468</v>
      </c>
      <c r="AC213" s="301" t="s">
        <v>498</v>
      </c>
      <c r="AD213" s="251">
        <f t="shared" si="29"/>
        <v>54</v>
      </c>
      <c r="AE213" s="234"/>
      <c r="AF213" s="255"/>
      <c r="AG213" s="237"/>
      <c r="AH213" s="236"/>
      <c r="AI213" s="234"/>
      <c r="AJ213" s="234"/>
      <c r="AK213" s="255" t="s">
        <v>434</v>
      </c>
      <c r="AL213" s="40"/>
    </row>
    <row r="214" spans="1:38" ht="54.95" hidden="1" customHeight="1">
      <c r="A214" s="333" t="s">
        <v>429</v>
      </c>
      <c r="B214" s="299" t="s">
        <v>430</v>
      </c>
      <c r="C214" s="299" t="s">
        <v>431</v>
      </c>
      <c r="D214" s="299" t="s">
        <v>432</v>
      </c>
      <c r="E214" s="299" t="s">
        <v>339</v>
      </c>
      <c r="F214" s="299"/>
      <c r="G214" s="299" t="s">
        <v>433</v>
      </c>
      <c r="H214" s="299" t="s">
        <v>30</v>
      </c>
      <c r="I214" s="299"/>
      <c r="J214" s="299"/>
      <c r="K214" s="299" t="s">
        <v>135</v>
      </c>
      <c r="L214" s="394">
        <v>43454</v>
      </c>
      <c r="M214" s="372">
        <v>43480</v>
      </c>
      <c r="N214" s="376"/>
      <c r="O214" s="394">
        <v>25</v>
      </c>
      <c r="P214" s="403">
        <f t="shared" si="41"/>
        <v>43455</v>
      </c>
      <c r="Q214" s="397" t="str">
        <f t="shared" ca="1" si="40"/>
        <v>Уже не актуально</v>
      </c>
      <c r="R214" s="415" t="s">
        <v>228</v>
      </c>
      <c r="S214" s="399" t="s">
        <v>609</v>
      </c>
      <c r="T214" s="399"/>
      <c r="U214" s="402">
        <f>M214</f>
        <v>43480</v>
      </c>
      <c r="V214" s="397" t="s">
        <v>499</v>
      </c>
      <c r="W214" s="399">
        <v>43480</v>
      </c>
      <c r="X214" s="376" t="s">
        <v>177</v>
      </c>
      <c r="Y214" s="376" t="s">
        <v>177</v>
      </c>
      <c r="Z214" s="376" t="s">
        <v>111</v>
      </c>
      <c r="AA214" s="399" t="s">
        <v>111</v>
      </c>
      <c r="AB214" s="405">
        <v>43545</v>
      </c>
      <c r="AC214" s="301" t="s">
        <v>601</v>
      </c>
      <c r="AD214" s="251">
        <f>AB214-M214</f>
        <v>65</v>
      </c>
      <c r="AE214" s="234" t="s">
        <v>597</v>
      </c>
      <c r="AF214" s="255"/>
      <c r="AG214" s="237"/>
      <c r="AH214" s="236"/>
      <c r="AI214" s="234"/>
      <c r="AJ214" s="234"/>
      <c r="AK214" s="255" t="s">
        <v>434</v>
      </c>
      <c r="AL214" s="187"/>
    </row>
    <row r="215" spans="1:38" ht="54.95" hidden="1" customHeight="1">
      <c r="A215" s="333" t="s">
        <v>429</v>
      </c>
      <c r="B215" s="299" t="s">
        <v>430</v>
      </c>
      <c r="C215" s="299" t="s">
        <v>431</v>
      </c>
      <c r="D215" s="299" t="s">
        <v>432</v>
      </c>
      <c r="E215" s="299" t="s">
        <v>339</v>
      </c>
      <c r="F215" s="299"/>
      <c r="G215" s="299" t="s">
        <v>433</v>
      </c>
      <c r="H215" s="299" t="s">
        <v>87</v>
      </c>
      <c r="I215" s="299"/>
      <c r="J215" s="299"/>
      <c r="K215" s="299" t="s">
        <v>256</v>
      </c>
      <c r="L215" s="394">
        <v>43601</v>
      </c>
      <c r="M215" s="372">
        <v>43631</v>
      </c>
      <c r="N215" s="376"/>
      <c r="O215" s="394">
        <f>25</f>
        <v>25</v>
      </c>
      <c r="P215" s="403">
        <f t="shared" si="41"/>
        <v>43606</v>
      </c>
      <c r="Q215" s="397" t="str">
        <f t="shared" ca="1" si="40"/>
        <v>Уже не актуально</v>
      </c>
      <c r="R215" s="375" t="s">
        <v>11</v>
      </c>
      <c r="S215" s="399"/>
      <c r="T215" s="399"/>
      <c r="U215" s="402">
        <v>43656</v>
      </c>
      <c r="V215" s="397" t="str">
        <f ca="1">IF(U215&gt;TODAY(),IF(U215&lt;TODAY()+17,"Пора отправлять","Еще рано"),"Уже не актуально")</f>
        <v>Уже не актуально</v>
      </c>
      <c r="W215" s="402">
        <v>43656</v>
      </c>
      <c r="X215" s="376" t="s">
        <v>177</v>
      </c>
      <c r="Y215" s="376" t="s">
        <v>177</v>
      </c>
      <c r="Z215" s="376" t="s">
        <v>111</v>
      </c>
      <c r="AA215" s="399" t="s">
        <v>111</v>
      </c>
      <c r="AB215" s="405">
        <v>43670</v>
      </c>
      <c r="AC215" s="301" t="str">
        <f ca="1">IF(AB215&lt;TODAY()-5,IF(AB215="","Еще рано","Уже не актуально"),IF(AB215&gt;TODAY()-2,"Еще рано","Пора отправлять"))</f>
        <v>Уже не актуально</v>
      </c>
      <c r="AD215" s="251">
        <f>AB215-M215</f>
        <v>39</v>
      </c>
      <c r="AE215" s="234"/>
      <c r="AF215" s="255"/>
      <c r="AG215" s="237"/>
      <c r="AH215" s="236"/>
      <c r="AI215" s="234"/>
      <c r="AJ215" s="234"/>
      <c r="AK215" s="255" t="s">
        <v>434</v>
      </c>
      <c r="AL215" s="208"/>
    </row>
    <row r="216" spans="1:38" ht="54.95" customHeight="1">
      <c r="A216" s="333" t="s">
        <v>429</v>
      </c>
      <c r="B216" s="299" t="s">
        <v>430</v>
      </c>
      <c r="C216" s="299" t="s">
        <v>431</v>
      </c>
      <c r="D216" s="299" t="s">
        <v>432</v>
      </c>
      <c r="E216" s="299" t="s">
        <v>339</v>
      </c>
      <c r="F216" s="299"/>
      <c r="G216" s="299" t="s">
        <v>433</v>
      </c>
      <c r="H216" s="299" t="s">
        <v>88</v>
      </c>
      <c r="I216" s="299"/>
      <c r="J216" s="299"/>
      <c r="K216" s="299" t="s">
        <v>843</v>
      </c>
      <c r="L216" s="394">
        <v>43745</v>
      </c>
      <c r="M216" s="372">
        <v>43766</v>
      </c>
      <c r="N216" s="376"/>
      <c r="O216" s="394"/>
      <c r="P216" s="403"/>
      <c r="Q216" s="397"/>
      <c r="R216" s="375"/>
      <c r="S216" s="399"/>
      <c r="T216" s="399"/>
      <c r="U216" s="402">
        <f>M216</f>
        <v>43766</v>
      </c>
      <c r="V216" s="397" t="s">
        <v>842</v>
      </c>
      <c r="W216" s="402">
        <v>43739</v>
      </c>
      <c r="X216" s="376" t="s">
        <v>177</v>
      </c>
      <c r="Y216" s="376" t="s">
        <v>177</v>
      </c>
      <c r="Z216" s="376"/>
      <c r="AA216" s="399"/>
      <c r="AB216" s="416" t="s">
        <v>907</v>
      </c>
      <c r="AC216" s="301" t="str">
        <f ca="1">IF(AB216&lt;TODAY()-5,IF(AB216="","Еще рано","Уже не актуально"),IF(AB216&gt;TODAY()-2,"Еще рано","Пора отправлять"))</f>
        <v>Еще рано</v>
      </c>
      <c r="AD216" s="251" t="e">
        <f>AB216-M216</f>
        <v>#VALUE!</v>
      </c>
      <c r="AE216" s="234"/>
      <c r="AF216" s="255"/>
      <c r="AG216" s="237"/>
      <c r="AH216" s="236"/>
      <c r="AI216" s="234"/>
      <c r="AJ216" s="234"/>
      <c r="AK216" s="255" t="s">
        <v>434</v>
      </c>
      <c r="AL216" s="229"/>
    </row>
    <row r="217" spans="1:38" ht="54.95" customHeight="1">
      <c r="A217" s="333" t="s">
        <v>429</v>
      </c>
      <c r="B217" s="299" t="s">
        <v>430</v>
      </c>
      <c r="C217" s="299" t="s">
        <v>431</v>
      </c>
      <c r="D217" s="299" t="s">
        <v>432</v>
      </c>
      <c r="E217" s="299" t="s">
        <v>339</v>
      </c>
      <c r="F217" s="299"/>
      <c r="G217" s="299" t="s">
        <v>433</v>
      </c>
      <c r="H217" s="299" t="s">
        <v>26</v>
      </c>
      <c r="I217" s="299"/>
      <c r="J217" s="299"/>
      <c r="K217" s="299"/>
      <c r="L217" s="394">
        <v>43812</v>
      </c>
      <c r="M217" s="372">
        <v>43905</v>
      </c>
      <c r="N217" s="376"/>
      <c r="O217" s="394"/>
      <c r="P217" s="403"/>
      <c r="Q217" s="397"/>
      <c r="R217" s="375"/>
      <c r="S217" s="399"/>
      <c r="T217" s="399"/>
      <c r="U217" s="402">
        <f>M217+30</f>
        <v>43935</v>
      </c>
      <c r="V217" s="397"/>
      <c r="W217" s="402"/>
      <c r="X217" s="376" t="str">
        <f ca="1">IF(U217&lt;=TODAY()+10,"Пора","Рано")</f>
        <v>Рано</v>
      </c>
      <c r="Y217" s="376"/>
      <c r="Z217" s="376"/>
      <c r="AA217" s="399"/>
      <c r="AB217" s="405"/>
      <c r="AC217" s="301" t="str">
        <f ca="1">IF(AB217&lt;TODAY()-5,IF(AB217="","Еще рано","Уже не актуально"),IF(AB217&gt;TODAY()-2,"Еще рано","Пора отправлять"))</f>
        <v>Еще рано</v>
      </c>
      <c r="AD217" s="251">
        <f>AB217-M217</f>
        <v>-43905</v>
      </c>
      <c r="AE217" s="234"/>
      <c r="AF217" s="255"/>
      <c r="AG217" s="237"/>
      <c r="AH217" s="236"/>
      <c r="AI217" s="234"/>
      <c r="AJ217" s="234"/>
      <c r="AK217" s="255" t="s">
        <v>434</v>
      </c>
      <c r="AL217" s="218"/>
    </row>
    <row r="218" spans="1:38" ht="54.95" hidden="1" customHeight="1">
      <c r="A218" s="334" t="s">
        <v>429</v>
      </c>
      <c r="B218" s="335" t="s">
        <v>443</v>
      </c>
      <c r="C218" s="335" t="s">
        <v>463</v>
      </c>
      <c r="D218" s="336" t="s">
        <v>465</v>
      </c>
      <c r="E218" s="335" t="s">
        <v>339</v>
      </c>
      <c r="F218" s="335"/>
      <c r="G218" s="335" t="s">
        <v>433</v>
      </c>
      <c r="H218" s="335" t="s">
        <v>29</v>
      </c>
      <c r="I218" s="335"/>
      <c r="J218" s="335"/>
      <c r="K218" s="335"/>
      <c r="L218" s="417">
        <v>43369</v>
      </c>
      <c r="M218" s="402">
        <v>43401</v>
      </c>
      <c r="N218" s="399">
        <v>43391</v>
      </c>
      <c r="O218" s="417">
        <v>25</v>
      </c>
      <c r="P218" s="403">
        <f>M218-O218</f>
        <v>43376</v>
      </c>
      <c r="Q218" s="397" t="str">
        <f ca="1">IF(P218&gt;=TODAY()-5,IF(P218&lt;TODAY()+6,"Пора отправлять","Еще рано"),"Уже не актуально")</f>
        <v>Уже не актуально</v>
      </c>
      <c r="R218" s="415" t="s">
        <v>228</v>
      </c>
      <c r="S218" s="399" t="s">
        <v>196</v>
      </c>
      <c r="T218" s="399"/>
      <c r="U218" s="402">
        <v>43413</v>
      </c>
      <c r="V218" s="397" t="s">
        <v>462</v>
      </c>
      <c r="W218" s="399">
        <v>43413</v>
      </c>
      <c r="X218" s="399">
        <v>43418</v>
      </c>
      <c r="Y218" s="399">
        <v>43418</v>
      </c>
      <c r="Z218" s="376" t="s">
        <v>111</v>
      </c>
      <c r="AA218" s="376" t="s">
        <v>111</v>
      </c>
      <c r="AB218" s="405">
        <v>43468</v>
      </c>
      <c r="AC218" s="301" t="s">
        <v>498</v>
      </c>
      <c r="AD218" s="251">
        <f t="shared" si="29"/>
        <v>67</v>
      </c>
      <c r="AE218" s="234" t="s">
        <v>596</v>
      </c>
      <c r="AF218" s="255"/>
      <c r="AG218" s="237"/>
      <c r="AH218" s="236"/>
      <c r="AI218" s="234"/>
      <c r="AJ218" s="234"/>
      <c r="AK218" s="255" t="s">
        <v>434</v>
      </c>
      <c r="AL218" s="169"/>
    </row>
    <row r="219" spans="1:38" ht="54.95" hidden="1" customHeight="1">
      <c r="A219" s="334" t="s">
        <v>429</v>
      </c>
      <c r="B219" s="335" t="s">
        <v>443</v>
      </c>
      <c r="C219" s="335" t="s">
        <v>463</v>
      </c>
      <c r="D219" s="336" t="s">
        <v>465</v>
      </c>
      <c r="E219" s="335" t="s">
        <v>339</v>
      </c>
      <c r="F219" s="335"/>
      <c r="G219" s="335" t="s">
        <v>433</v>
      </c>
      <c r="H219" s="335" t="s">
        <v>30</v>
      </c>
      <c r="I219" s="335"/>
      <c r="J219" s="335"/>
      <c r="K219" s="335" t="s">
        <v>87</v>
      </c>
      <c r="L219" s="417">
        <v>43454</v>
      </c>
      <c r="M219" s="402">
        <v>43475</v>
      </c>
      <c r="N219" s="399"/>
      <c r="O219" s="417">
        <v>25</v>
      </c>
      <c r="P219" s="403">
        <f>M219-O219</f>
        <v>43450</v>
      </c>
      <c r="Q219" s="397" t="str">
        <f ca="1">IF(P219&gt;=TODAY()-5,IF(P219&lt;TODAY()+6,"Пора отправлять","Еще рано"),"Уже не актуально")</f>
        <v>Уже не актуально</v>
      </c>
      <c r="R219" s="415" t="s">
        <v>228</v>
      </c>
      <c r="S219" s="399" t="s">
        <v>609</v>
      </c>
      <c r="T219" s="399"/>
      <c r="U219" s="402" t="s">
        <v>671</v>
      </c>
      <c r="V219" s="397" t="s">
        <v>499</v>
      </c>
      <c r="W219" s="399">
        <v>43481</v>
      </c>
      <c r="X219" s="376" t="s">
        <v>176</v>
      </c>
      <c r="Y219" s="376" t="s">
        <v>176</v>
      </c>
      <c r="Z219" s="376"/>
      <c r="AA219" s="399" t="str">
        <f>IF(Z219="","Рано","Когда?")</f>
        <v>Рано</v>
      </c>
      <c r="AB219" s="405">
        <v>43550</v>
      </c>
      <c r="AC219" s="301" t="s">
        <v>608</v>
      </c>
      <c r="AD219" s="251">
        <f>AB219-M219</f>
        <v>75</v>
      </c>
      <c r="AE219" s="234" t="s">
        <v>602</v>
      </c>
      <c r="AF219" s="255"/>
      <c r="AG219" s="237"/>
      <c r="AH219" s="236"/>
      <c r="AI219" s="234"/>
      <c r="AJ219" s="234"/>
      <c r="AK219" s="255" t="s">
        <v>434</v>
      </c>
      <c r="AL219" s="187"/>
    </row>
    <row r="220" spans="1:38" ht="54.95" customHeight="1">
      <c r="A220" s="334" t="s">
        <v>429</v>
      </c>
      <c r="B220" s="335" t="s">
        <v>443</v>
      </c>
      <c r="C220" s="335" t="s">
        <v>463</v>
      </c>
      <c r="D220" s="336" t="s">
        <v>465</v>
      </c>
      <c r="E220" s="335" t="s">
        <v>339</v>
      </c>
      <c r="F220" s="335"/>
      <c r="G220" s="335" t="s">
        <v>433</v>
      </c>
      <c r="H220" s="335" t="s">
        <v>87</v>
      </c>
      <c r="I220" s="335"/>
      <c r="J220" s="335"/>
      <c r="K220" s="335" t="s">
        <v>717</v>
      </c>
      <c r="L220" s="417">
        <v>43593</v>
      </c>
      <c r="M220" s="402">
        <v>43615</v>
      </c>
      <c r="N220" s="399"/>
      <c r="O220" s="417">
        <f>25</f>
        <v>25</v>
      </c>
      <c r="P220" s="403">
        <f>M220-O220</f>
        <v>43590</v>
      </c>
      <c r="Q220" s="397" t="str">
        <f ca="1">IF(P220&gt;=TODAY()-5,IF(P220&lt;TODAY()+6,"Пора отправлять","Еще рано"),"Уже не актуально")</f>
        <v>Уже не актуально</v>
      </c>
      <c r="R220" s="375" t="s">
        <v>11</v>
      </c>
      <c r="S220" s="399"/>
      <c r="T220" s="399"/>
      <c r="U220" s="402">
        <v>43631</v>
      </c>
      <c r="V220" s="397" t="str">
        <f ca="1">IF(U220&gt;TODAY(),IF(U220&lt;TODAY()+17,"Пора отправлять","Еще рано"),"Уже не актуально")</f>
        <v>Уже не актуально</v>
      </c>
      <c r="W220" s="402">
        <v>43656</v>
      </c>
      <c r="X220" s="376" t="s">
        <v>177</v>
      </c>
      <c r="Y220" s="376" t="s">
        <v>177</v>
      </c>
      <c r="Z220" s="376" t="s">
        <v>111</v>
      </c>
      <c r="AA220" s="399" t="s">
        <v>111</v>
      </c>
      <c r="AB220" s="405">
        <v>43670</v>
      </c>
      <c r="AC220" s="301" t="str">
        <f t="shared" ref="AC220:AC226" ca="1" si="42">IF(AB220&lt;TODAY()-5,IF(AB220="","Еще рано","Уже не актуально"),IF(AB220&gt;TODAY()-2,"Еще рано","Пора отправлять"))</f>
        <v>Уже не актуально</v>
      </c>
      <c r="AD220" s="251">
        <f>AB220-M220</f>
        <v>55</v>
      </c>
      <c r="AE220" s="234"/>
      <c r="AF220" s="255"/>
      <c r="AG220" s="237"/>
      <c r="AH220" s="236"/>
      <c r="AI220" s="234"/>
      <c r="AJ220" s="234"/>
      <c r="AK220" s="255" t="s">
        <v>434</v>
      </c>
      <c r="AL220" s="208"/>
    </row>
    <row r="221" spans="1:38" ht="54.95" customHeight="1">
      <c r="A221" s="334" t="s">
        <v>429</v>
      </c>
      <c r="B221" s="335" t="s">
        <v>443</v>
      </c>
      <c r="C221" s="335" t="s">
        <v>463</v>
      </c>
      <c r="D221" s="336" t="s">
        <v>465</v>
      </c>
      <c r="E221" s="335" t="s">
        <v>339</v>
      </c>
      <c r="F221" s="335"/>
      <c r="G221" s="335" t="s">
        <v>433</v>
      </c>
      <c r="H221" s="335" t="s">
        <v>88</v>
      </c>
      <c r="I221" s="335"/>
      <c r="J221" s="335"/>
      <c r="K221" s="335" t="s">
        <v>756</v>
      </c>
      <c r="L221" s="417">
        <v>43658</v>
      </c>
      <c r="M221" s="402">
        <v>43682</v>
      </c>
      <c r="N221" s="399"/>
      <c r="O221" s="417">
        <f>25</f>
        <v>25</v>
      </c>
      <c r="P221" s="403">
        <f>M221-O221</f>
        <v>43657</v>
      </c>
      <c r="Q221" s="397" t="str">
        <f ca="1">IF(P221&gt;=TODAY()-5,IF(P221&lt;TODAY()+6,"Пора отправлять","Еще рано"),"Уже не актуально")</f>
        <v>Уже не актуально</v>
      </c>
      <c r="R221" s="375" t="s">
        <v>11</v>
      </c>
      <c r="S221" s="399"/>
      <c r="T221" s="399"/>
      <c r="U221" s="402">
        <v>43714</v>
      </c>
      <c r="V221" s="397" t="s">
        <v>758</v>
      </c>
      <c r="W221" s="402">
        <v>43728</v>
      </c>
      <c r="X221" s="376" t="s">
        <v>177</v>
      </c>
      <c r="Y221" s="376" t="s">
        <v>177</v>
      </c>
      <c r="Z221" s="399"/>
      <c r="AA221" s="399"/>
      <c r="AB221" s="405">
        <v>43733</v>
      </c>
      <c r="AC221" s="301" t="str">
        <f t="shared" ca="1" si="42"/>
        <v>Уже не актуально</v>
      </c>
      <c r="AD221" s="251">
        <f>AB221-M221</f>
        <v>51</v>
      </c>
      <c r="AE221" s="234" t="s">
        <v>757</v>
      </c>
      <c r="AF221" s="255"/>
      <c r="AG221" s="237"/>
      <c r="AH221" s="236"/>
      <c r="AI221" s="234"/>
      <c r="AJ221" s="234"/>
      <c r="AK221" s="255" t="s">
        <v>434</v>
      </c>
      <c r="AL221" s="218"/>
    </row>
    <row r="222" spans="1:38" ht="54.95" customHeight="1">
      <c r="A222" s="334" t="s">
        <v>429</v>
      </c>
      <c r="B222" s="335" t="s">
        <v>443</v>
      </c>
      <c r="C222" s="335" t="s">
        <v>463</v>
      </c>
      <c r="D222" s="336" t="s">
        <v>465</v>
      </c>
      <c r="E222" s="335" t="s">
        <v>339</v>
      </c>
      <c r="F222" s="335"/>
      <c r="G222" s="335" t="s">
        <v>433</v>
      </c>
      <c r="H222" s="335" t="s">
        <v>26</v>
      </c>
      <c r="I222" s="335"/>
      <c r="J222" s="335"/>
      <c r="K222" s="335" t="s">
        <v>839</v>
      </c>
      <c r="L222" s="417">
        <v>43732</v>
      </c>
      <c r="M222" s="402">
        <v>43758</v>
      </c>
      <c r="N222" s="399" t="s">
        <v>829</v>
      </c>
      <c r="O222" s="417"/>
      <c r="P222" s="403"/>
      <c r="Q222" s="397"/>
      <c r="R222" s="404"/>
      <c r="S222" s="399"/>
      <c r="T222" s="399"/>
      <c r="U222" s="402">
        <f>M222+40+15</f>
        <v>43813</v>
      </c>
      <c r="V222" s="397" t="s">
        <v>830</v>
      </c>
      <c r="W222" s="402">
        <v>43813</v>
      </c>
      <c r="X222" s="376" t="s">
        <v>177</v>
      </c>
      <c r="Y222" s="376" t="s">
        <v>177</v>
      </c>
      <c r="Z222" s="399"/>
      <c r="AA222" s="399"/>
      <c r="AB222" s="405">
        <v>43830</v>
      </c>
      <c r="AC222" s="301" t="str">
        <f t="shared" ca="1" si="42"/>
        <v>Уже не актуально</v>
      </c>
      <c r="AD222" s="251"/>
      <c r="AE222" s="234"/>
      <c r="AF222" s="255"/>
      <c r="AG222" s="237"/>
      <c r="AH222" s="236"/>
      <c r="AI222" s="234"/>
      <c r="AJ222" s="234"/>
      <c r="AK222" s="255" t="s">
        <v>434</v>
      </c>
      <c r="AL222" s="228"/>
    </row>
    <row r="223" spans="1:38" ht="54.95" customHeight="1">
      <c r="A223" s="334" t="s">
        <v>429</v>
      </c>
      <c r="B223" s="335" t="s">
        <v>443</v>
      </c>
      <c r="C223" s="335" t="s">
        <v>463</v>
      </c>
      <c r="D223" s="336" t="s">
        <v>465</v>
      </c>
      <c r="E223" s="335" t="s">
        <v>339</v>
      </c>
      <c r="F223" s="335"/>
      <c r="G223" s="335" t="s">
        <v>433</v>
      </c>
      <c r="H223" s="335" t="s">
        <v>27</v>
      </c>
      <c r="I223" s="335"/>
      <c r="J223" s="335"/>
      <c r="K223" s="335" t="s">
        <v>26</v>
      </c>
      <c r="L223" s="417">
        <v>43716</v>
      </c>
      <c r="M223" s="402">
        <v>43767</v>
      </c>
      <c r="N223" s="399"/>
      <c r="O223" s="417"/>
      <c r="P223" s="403"/>
      <c r="Q223" s="397"/>
      <c r="R223" s="404"/>
      <c r="S223" s="399"/>
      <c r="T223" s="399"/>
      <c r="U223" s="402">
        <f>M223+40+15+5+2</f>
        <v>43829</v>
      </c>
      <c r="V223" s="397" t="s">
        <v>851</v>
      </c>
      <c r="W223" s="402">
        <v>43829</v>
      </c>
      <c r="X223" s="376" t="s">
        <v>177</v>
      </c>
      <c r="Y223" s="376" t="s">
        <v>177</v>
      </c>
      <c r="Z223" s="399"/>
      <c r="AA223" s="399"/>
      <c r="AB223" s="416" t="s">
        <v>907</v>
      </c>
      <c r="AC223" s="301" t="str">
        <f t="shared" ca="1" si="42"/>
        <v>Еще рано</v>
      </c>
      <c r="AD223" s="251"/>
      <c r="AE223" s="234"/>
      <c r="AF223" s="255"/>
      <c r="AG223" s="237"/>
      <c r="AH223" s="236"/>
      <c r="AI223" s="234"/>
      <c r="AJ223" s="234"/>
      <c r="AK223" s="255" t="s">
        <v>434</v>
      </c>
      <c r="AL223" s="226"/>
    </row>
    <row r="224" spans="1:38" ht="54.95" customHeight="1">
      <c r="A224" s="334" t="s">
        <v>429</v>
      </c>
      <c r="B224" s="335" t="s">
        <v>443</v>
      </c>
      <c r="C224" s="335" t="s">
        <v>463</v>
      </c>
      <c r="D224" s="336" t="s">
        <v>465</v>
      </c>
      <c r="E224" s="335" t="s">
        <v>339</v>
      </c>
      <c r="F224" s="335"/>
      <c r="G224" s="335" t="s">
        <v>433</v>
      </c>
      <c r="H224" s="335" t="s">
        <v>135</v>
      </c>
      <c r="I224" s="335"/>
      <c r="J224" s="335"/>
      <c r="K224" s="335" t="s">
        <v>256</v>
      </c>
      <c r="L224" s="417">
        <v>43811</v>
      </c>
      <c r="M224" s="402">
        <v>43840</v>
      </c>
      <c r="N224" s="399"/>
      <c r="O224" s="417"/>
      <c r="P224" s="403"/>
      <c r="Q224" s="397"/>
      <c r="R224" s="404"/>
      <c r="S224" s="399"/>
      <c r="T224" s="399"/>
      <c r="U224" s="402">
        <f>M224-4</f>
        <v>43836</v>
      </c>
      <c r="V224" s="397" t="s">
        <v>860</v>
      </c>
      <c r="W224" s="402"/>
      <c r="X224" s="376" t="s">
        <v>177</v>
      </c>
      <c r="Y224" s="376" t="s">
        <v>177</v>
      </c>
      <c r="Z224" s="399"/>
      <c r="AA224" s="399"/>
      <c r="AB224" s="416" t="s">
        <v>907</v>
      </c>
      <c r="AC224" s="301" t="str">
        <f t="shared" ca="1" si="42"/>
        <v>Еще рано</v>
      </c>
      <c r="AD224" s="251"/>
      <c r="AE224" s="234"/>
      <c r="AF224" s="255"/>
      <c r="AG224" s="237"/>
      <c r="AH224" s="236"/>
      <c r="AI224" s="234"/>
      <c r="AJ224" s="234"/>
      <c r="AK224" s="255" t="s">
        <v>434</v>
      </c>
      <c r="AL224" s="229"/>
    </row>
    <row r="225" spans="1:38" ht="54.95" customHeight="1">
      <c r="A225" s="337" t="s">
        <v>429</v>
      </c>
      <c r="B225" s="338" t="s">
        <v>479</v>
      </c>
      <c r="C225" s="338" t="s">
        <v>480</v>
      </c>
      <c r="D225" s="338" t="s">
        <v>623</v>
      </c>
      <c r="E225" s="338" t="s">
        <v>481</v>
      </c>
      <c r="F225" s="338"/>
      <c r="G225" s="338" t="s">
        <v>482</v>
      </c>
      <c r="H225" s="338" t="s">
        <v>29</v>
      </c>
      <c r="I225" s="338"/>
      <c r="J225" s="338"/>
      <c r="K225" s="338" t="s">
        <v>582</v>
      </c>
      <c r="L225" s="418">
        <v>43423</v>
      </c>
      <c r="M225" s="402">
        <v>43555</v>
      </c>
      <c r="N225" s="399"/>
      <c r="O225" s="418">
        <v>25</v>
      </c>
      <c r="P225" s="399">
        <f>M225-O225</f>
        <v>43530</v>
      </c>
      <c r="Q225" s="397" t="s">
        <v>575</v>
      </c>
      <c r="R225" s="399" t="s">
        <v>228</v>
      </c>
      <c r="S225" s="376" t="s">
        <v>655</v>
      </c>
      <c r="T225" s="399"/>
      <c r="U225" s="399">
        <f>M225</f>
        <v>43555</v>
      </c>
      <c r="V225" s="397" t="s">
        <v>203</v>
      </c>
      <c r="W225" s="399">
        <v>43537</v>
      </c>
      <c r="X225" s="399">
        <v>43545</v>
      </c>
      <c r="Y225" s="399">
        <v>43546</v>
      </c>
      <c r="Z225" s="399">
        <v>43537</v>
      </c>
      <c r="AA225" s="399" t="str">
        <f>IF(Z225="","Рано","Когда?")</f>
        <v>Когда?</v>
      </c>
      <c r="AB225" s="399">
        <v>43582</v>
      </c>
      <c r="AC225" s="301" t="str">
        <f t="shared" ca="1" si="42"/>
        <v>Уже не актуально</v>
      </c>
      <c r="AD225" s="251">
        <f t="shared" si="29"/>
        <v>27</v>
      </c>
      <c r="AE225" s="252" t="s">
        <v>638</v>
      </c>
      <c r="AF225" s="339"/>
      <c r="AG225" s="237"/>
      <c r="AH225" s="236"/>
      <c r="AK225" s="255" t="s">
        <v>434</v>
      </c>
      <c r="AL225" s="40"/>
    </row>
    <row r="226" spans="1:38" ht="54.95" customHeight="1">
      <c r="A226" s="337" t="s">
        <v>429</v>
      </c>
      <c r="B226" s="338" t="s">
        <v>479</v>
      </c>
      <c r="C226" s="338" t="s">
        <v>480</v>
      </c>
      <c r="D226" s="338" t="s">
        <v>623</v>
      </c>
      <c r="E226" s="338" t="s">
        <v>481</v>
      </c>
      <c r="F226" s="338"/>
      <c r="G226" s="338" t="s">
        <v>483</v>
      </c>
      <c r="H226" s="338" t="s">
        <v>30</v>
      </c>
      <c r="I226" s="338"/>
      <c r="J226" s="338"/>
      <c r="K226" s="338" t="s">
        <v>160</v>
      </c>
      <c r="L226" s="418"/>
      <c r="M226" s="402">
        <v>43789</v>
      </c>
      <c r="N226" s="399">
        <v>43702</v>
      </c>
      <c r="O226" s="418">
        <v>25</v>
      </c>
      <c r="P226" s="399">
        <f>M226-O226</f>
        <v>43764</v>
      </c>
      <c r="Q226" s="397" t="str">
        <f ca="1">IF(P226&gt;=TODAY()-5,IF(P226&lt;TODAY()+6,"Пора отправлять","Еще рано"),"Уже не актуально")</f>
        <v>Уже не актуально</v>
      </c>
      <c r="R226" s="375" t="s">
        <v>11</v>
      </c>
      <c r="S226" s="376"/>
      <c r="T226" s="399"/>
      <c r="U226" s="399">
        <v>43797</v>
      </c>
      <c r="V226" s="397" t="s">
        <v>816</v>
      </c>
      <c r="W226" s="399">
        <v>43800</v>
      </c>
      <c r="X226" s="376">
        <v>43808</v>
      </c>
      <c r="Y226" s="399">
        <v>43812</v>
      </c>
      <c r="Z226" s="399"/>
      <c r="AA226" s="399"/>
      <c r="AB226" s="399">
        <v>43832</v>
      </c>
      <c r="AC226" s="301" t="str">
        <f t="shared" ca="1" si="42"/>
        <v>Уже не актуально</v>
      </c>
      <c r="AD226" s="251">
        <f t="shared" si="29"/>
        <v>43</v>
      </c>
      <c r="AE226" s="252" t="s">
        <v>858</v>
      </c>
      <c r="AF226" s="339"/>
      <c r="AG226" s="237"/>
      <c r="AH226" s="236"/>
      <c r="AK226" s="255" t="s">
        <v>434</v>
      </c>
      <c r="AL226" s="210"/>
    </row>
    <row r="227" spans="1:38" ht="54.95" customHeight="1">
      <c r="A227" s="337"/>
      <c r="B227" s="338"/>
      <c r="C227" s="338"/>
      <c r="D227" s="338"/>
      <c r="E227" s="338"/>
      <c r="F227" s="338"/>
      <c r="G227" s="338"/>
      <c r="H227" s="338"/>
      <c r="I227" s="338"/>
      <c r="J227" s="338"/>
      <c r="K227" s="338"/>
      <c r="L227" s="418"/>
      <c r="M227" s="402"/>
      <c r="N227" s="399"/>
      <c r="O227" s="418"/>
      <c r="P227" s="399"/>
      <c r="Q227" s="397"/>
      <c r="R227" s="375"/>
      <c r="S227" s="376"/>
      <c r="T227" s="399"/>
      <c r="U227" s="399"/>
      <c r="V227" s="397"/>
      <c r="W227" s="399"/>
      <c r="X227" s="399"/>
      <c r="Y227" s="399"/>
      <c r="Z227" s="399"/>
      <c r="AA227" s="399"/>
      <c r="AB227" s="399"/>
      <c r="AC227" s="301"/>
      <c r="AD227" s="251"/>
      <c r="AE227" s="252"/>
      <c r="AF227" s="339"/>
      <c r="AG227" s="237"/>
      <c r="AH227" s="236"/>
      <c r="AK227" s="255"/>
      <c r="AL227" s="232"/>
    </row>
    <row r="228" spans="1:38" ht="54.95" customHeight="1">
      <c r="A228" s="340" t="s">
        <v>429</v>
      </c>
      <c r="B228" s="341" t="s">
        <v>563</v>
      </c>
      <c r="C228" s="342" t="s">
        <v>564</v>
      </c>
      <c r="D228" s="342" t="s">
        <v>568</v>
      </c>
      <c r="E228" s="341" t="s">
        <v>639</v>
      </c>
      <c r="F228" s="341"/>
      <c r="G228" s="341" t="s">
        <v>433</v>
      </c>
      <c r="H228" s="341" t="s">
        <v>29</v>
      </c>
      <c r="I228" s="341"/>
      <c r="J228" s="341"/>
      <c r="K228" s="341" t="s">
        <v>90</v>
      </c>
      <c r="L228" s="419">
        <v>43446</v>
      </c>
      <c r="M228" s="372">
        <v>43555</v>
      </c>
      <c r="N228" s="376" t="s">
        <v>566</v>
      </c>
      <c r="O228" s="419">
        <v>25</v>
      </c>
      <c r="P228" s="376">
        <f>M228-O228</f>
        <v>43530</v>
      </c>
      <c r="Q228" s="397" t="s">
        <v>567</v>
      </c>
      <c r="R228" s="376">
        <v>43530</v>
      </c>
      <c r="S228" s="376" t="s">
        <v>656</v>
      </c>
      <c r="T228" s="376"/>
      <c r="U228" s="399">
        <v>43565</v>
      </c>
      <c r="V228" s="397" t="s">
        <v>601</v>
      </c>
      <c r="W228" s="376">
        <v>43565</v>
      </c>
      <c r="X228" s="399">
        <v>43567</v>
      </c>
      <c r="Y228" s="376">
        <v>43567</v>
      </c>
      <c r="Z228" s="376"/>
      <c r="AA228" s="399" t="str">
        <f>IF(Z228="","Рано","Когда?")</f>
        <v>Рано</v>
      </c>
      <c r="AB228" s="376">
        <v>43614</v>
      </c>
      <c r="AC228" s="301" t="s">
        <v>678</v>
      </c>
      <c r="AD228" s="251">
        <f t="shared" si="29"/>
        <v>59</v>
      </c>
      <c r="AE228" s="234" t="s">
        <v>615</v>
      </c>
      <c r="AF228" s="339" t="s">
        <v>565</v>
      </c>
      <c r="AG228" s="237"/>
      <c r="AH228" s="236"/>
      <c r="AK228" s="255" t="s">
        <v>434</v>
      </c>
      <c r="AL228" s="40"/>
    </row>
    <row r="229" spans="1:38" ht="54.95" customHeight="1">
      <c r="A229" s="340" t="s">
        <v>429</v>
      </c>
      <c r="B229" s="341" t="s">
        <v>563</v>
      </c>
      <c r="C229" s="342" t="s">
        <v>564</v>
      </c>
      <c r="D229" s="342" t="s">
        <v>568</v>
      </c>
      <c r="E229" s="341" t="s">
        <v>639</v>
      </c>
      <c r="F229" s="341"/>
      <c r="G229" s="341" t="s">
        <v>433</v>
      </c>
      <c r="H229" s="341" t="s">
        <v>30</v>
      </c>
      <c r="I229" s="341"/>
      <c r="J229" s="341"/>
      <c r="K229" s="341"/>
      <c r="L229" s="419">
        <v>43626</v>
      </c>
      <c r="M229" s="372">
        <v>43671</v>
      </c>
      <c r="N229" s="376"/>
      <c r="O229" s="419">
        <v>25</v>
      </c>
      <c r="P229" s="376">
        <f>M229-O229</f>
        <v>43646</v>
      </c>
      <c r="Q229" s="397" t="str">
        <f ca="1">IF(P229&gt;=TODAY()-5,IF(P229&lt;TODAY()+6,"Пора отправлять","Еще рано"),"Уже не актуально")</f>
        <v>Уже не актуально</v>
      </c>
      <c r="R229" s="375" t="s">
        <v>11</v>
      </c>
      <c r="S229" s="376"/>
      <c r="T229" s="376"/>
      <c r="U229" s="399">
        <f>M229</f>
        <v>43671</v>
      </c>
      <c r="V229" s="397" t="str">
        <f ca="1">IF(U229&gt;TODAY(),IF(U229&lt;TODAY()+17,"Пора отправлять","Еще рано"),"Уже не актуально")</f>
        <v>Уже не актуально</v>
      </c>
      <c r="W229" s="376">
        <v>43671</v>
      </c>
      <c r="X229" s="376" t="s">
        <v>177</v>
      </c>
      <c r="Y229" s="376" t="s">
        <v>177</v>
      </c>
      <c r="Z229" s="376"/>
      <c r="AA229" s="399"/>
      <c r="AB229" s="420">
        <v>43689</v>
      </c>
      <c r="AC229" s="301" t="str">
        <f ca="1">IF(AB229&lt;TODAY()-5,IF(AB229="","Еще рано","Уже не актуально"),IF(AB229&gt;TODAY()-2,"Еще рано","Пора отправлять"))</f>
        <v>Уже не актуально</v>
      </c>
      <c r="AD229" s="251">
        <f t="shared" ref="AD229:AD236" si="43">AB229-M229</f>
        <v>18</v>
      </c>
      <c r="AE229" s="234"/>
      <c r="AF229" s="339"/>
      <c r="AG229" s="237"/>
      <c r="AH229" s="236"/>
      <c r="AK229" s="255" t="s">
        <v>434</v>
      </c>
      <c r="AL229" s="210"/>
    </row>
    <row r="230" spans="1:38" ht="54.95" customHeight="1">
      <c r="A230" s="340" t="s">
        <v>429</v>
      </c>
      <c r="B230" s="341" t="s">
        <v>563</v>
      </c>
      <c r="C230" s="342" t="s">
        <v>564</v>
      </c>
      <c r="D230" s="342" t="s">
        <v>568</v>
      </c>
      <c r="E230" s="341" t="s">
        <v>801</v>
      </c>
      <c r="F230" s="341"/>
      <c r="G230" s="341" t="s">
        <v>433</v>
      </c>
      <c r="H230" s="341" t="s">
        <v>87</v>
      </c>
      <c r="I230" s="341"/>
      <c r="J230" s="341"/>
      <c r="K230" s="341"/>
      <c r="L230" s="419">
        <v>43768</v>
      </c>
      <c r="M230" s="372">
        <v>43840</v>
      </c>
      <c r="N230" s="376"/>
      <c r="O230" s="419"/>
      <c r="P230" s="376"/>
      <c r="Q230" s="397"/>
      <c r="R230" s="376"/>
      <c r="S230" s="376"/>
      <c r="T230" s="376"/>
      <c r="U230" s="399">
        <f>M230+30+61</f>
        <v>43931</v>
      </c>
      <c r="V230" s="397" t="str">
        <f ca="1">IF(U230&gt;TODAY(),IF(U230&lt;TODAY()+17,"Пора отправлять","Еще рано"),"Уже не актуально")</f>
        <v>Пора отправлять</v>
      </c>
      <c r="W230" s="376"/>
      <c r="X230" s="376" t="str">
        <f ca="1">IF(U230&lt;=TODAY()+10,"Пора","Рано")</f>
        <v>Пора</v>
      </c>
      <c r="Y230" s="376"/>
      <c r="Z230" s="376"/>
      <c r="AA230" s="399"/>
      <c r="AB230" s="376"/>
      <c r="AC230" s="301" t="str">
        <f ca="1">IF(AB230&lt;TODAY()-5,IF(AB230="","Еще рано","Уже не актуально"),IF(AB230&gt;TODAY()-2,"Еще рано","Пора отправлять"))</f>
        <v>Еще рано</v>
      </c>
      <c r="AD230" s="251">
        <f t="shared" si="43"/>
        <v>-43840</v>
      </c>
      <c r="AE230" s="234" t="s">
        <v>859</v>
      </c>
      <c r="AF230" s="339"/>
      <c r="AG230" s="237"/>
      <c r="AH230" s="236"/>
      <c r="AK230" s="255" t="s">
        <v>434</v>
      </c>
      <c r="AL230" s="229"/>
    </row>
    <row r="231" spans="1:38" ht="54.95" customHeight="1">
      <c r="A231" s="340" t="s">
        <v>429</v>
      </c>
      <c r="B231" s="341" t="s">
        <v>563</v>
      </c>
      <c r="C231" s="342" t="s">
        <v>564</v>
      </c>
      <c r="D231" s="342" t="s">
        <v>568</v>
      </c>
      <c r="E231" s="341" t="s">
        <v>801</v>
      </c>
      <c r="F231" s="341"/>
      <c r="G231" s="341" t="s">
        <v>433</v>
      </c>
      <c r="H231" s="341" t="s">
        <v>88</v>
      </c>
      <c r="I231" s="341"/>
      <c r="J231" s="341"/>
      <c r="K231" s="341"/>
      <c r="L231" s="419">
        <v>43811</v>
      </c>
      <c r="M231" s="372">
        <v>43921</v>
      </c>
      <c r="N231" s="376"/>
      <c r="O231" s="419"/>
      <c r="P231" s="376"/>
      <c r="Q231" s="397"/>
      <c r="R231" s="376"/>
      <c r="S231" s="376"/>
      <c r="T231" s="376"/>
      <c r="U231" s="399">
        <v>43941</v>
      </c>
      <c r="V231" s="397" t="str">
        <f ca="1">IF(U231&gt;TODAY(),IF(U231&lt;TODAY()+17,"Пора отправлять","Еще рано"),"Уже не актуально")</f>
        <v>Еще рано</v>
      </c>
      <c r="W231" s="376"/>
      <c r="X231" s="376" t="str">
        <f ca="1">IF(U231&lt;=TODAY()+10,"Пора","Рано")</f>
        <v>Рано</v>
      </c>
      <c r="Y231" s="376"/>
      <c r="Z231" s="376"/>
      <c r="AA231" s="399"/>
      <c r="AB231" s="376"/>
      <c r="AC231" s="301" t="str">
        <f ca="1">IF(AB231&lt;TODAY()-5,IF(AB231="","Еще рано","Уже не актуально"),IF(AB231&gt;TODAY()-2,"Еще рано","Пора отправлять"))</f>
        <v>Еще рано</v>
      </c>
      <c r="AD231" s="251">
        <f t="shared" si="43"/>
        <v>-43921</v>
      </c>
      <c r="AE231" s="234" t="s">
        <v>844</v>
      </c>
      <c r="AF231" s="339"/>
      <c r="AG231" s="237"/>
      <c r="AH231" s="236"/>
      <c r="AK231" s="255" t="s">
        <v>434</v>
      </c>
      <c r="AL231" s="218"/>
    </row>
    <row r="232" spans="1:38" ht="45" hidden="1" customHeight="1">
      <c r="A232" s="308" t="s">
        <v>83</v>
      </c>
      <c r="B232" s="308" t="s">
        <v>549</v>
      </c>
      <c r="C232" s="308" t="s">
        <v>604</v>
      </c>
      <c r="D232" s="309" t="s">
        <v>603</v>
      </c>
      <c r="E232" s="308" t="s">
        <v>745</v>
      </c>
      <c r="F232" s="308"/>
      <c r="G232" s="308" t="s">
        <v>433</v>
      </c>
      <c r="H232" s="308" t="s">
        <v>29</v>
      </c>
      <c r="I232" s="272"/>
      <c r="J232" s="272"/>
      <c r="K232" s="308" t="s">
        <v>651</v>
      </c>
      <c r="L232" s="400">
        <v>43536</v>
      </c>
      <c r="M232" s="372">
        <v>43580</v>
      </c>
      <c r="N232" s="376">
        <v>43559</v>
      </c>
      <c r="O232" s="400">
        <v>25</v>
      </c>
      <c r="P232" s="373">
        <f>M232-O232</f>
        <v>43555</v>
      </c>
      <c r="Q232" s="374" t="str">
        <f ca="1">IF(P232&gt;=TODAY()-5,IF(P232&lt;TODAY()+6,"Пора отправлять","Еще рано"),"Уже не актуально")</f>
        <v>Уже не актуально</v>
      </c>
      <c r="R232" s="375" t="s">
        <v>11</v>
      </c>
      <c r="S232" s="376" t="s">
        <v>655</v>
      </c>
      <c r="T232" s="376"/>
      <c r="U232" s="372">
        <v>43584</v>
      </c>
      <c r="V232" s="374" t="s">
        <v>645</v>
      </c>
      <c r="W232" s="376">
        <v>43587</v>
      </c>
      <c r="X232" s="376">
        <v>43592</v>
      </c>
      <c r="Y232" s="376">
        <v>43598</v>
      </c>
      <c r="Z232" s="376"/>
      <c r="AA232" s="376" t="str">
        <f>IF(Z232="","Рано","Когда?")</f>
        <v>Рано</v>
      </c>
      <c r="AB232" s="376">
        <v>43600</v>
      </c>
      <c r="AC232" s="250" t="s">
        <v>664</v>
      </c>
      <c r="AD232" s="251">
        <f t="shared" si="43"/>
        <v>20</v>
      </c>
      <c r="AE232" s="234" t="s">
        <v>663</v>
      </c>
      <c r="AF232" s="255"/>
      <c r="AG232" s="237"/>
      <c r="AH232" s="236"/>
      <c r="AK232" s="255" t="s">
        <v>318</v>
      </c>
      <c r="AL232" s="40"/>
    </row>
    <row r="233" spans="1:38" ht="45" hidden="1" customHeight="1">
      <c r="A233" s="308" t="s">
        <v>83</v>
      </c>
      <c r="B233" s="308" t="s">
        <v>549</v>
      </c>
      <c r="C233" s="308" t="s">
        <v>604</v>
      </c>
      <c r="D233" s="309" t="s">
        <v>603</v>
      </c>
      <c r="E233" s="308" t="s">
        <v>745</v>
      </c>
      <c r="F233" s="308"/>
      <c r="G233" s="308" t="s">
        <v>433</v>
      </c>
      <c r="H233" s="308" t="s">
        <v>30</v>
      </c>
      <c r="I233" s="272"/>
      <c r="J233" s="272"/>
      <c r="K233" s="308" t="s">
        <v>651</v>
      </c>
      <c r="L233" s="400">
        <v>43550</v>
      </c>
      <c r="M233" s="372">
        <v>43621</v>
      </c>
      <c r="N233" s="376"/>
      <c r="O233" s="400">
        <f>25</f>
        <v>25</v>
      </c>
      <c r="P233" s="373">
        <f>M233-O233</f>
        <v>43596</v>
      </c>
      <c r="Q233" s="374" t="s">
        <v>203</v>
      </c>
      <c r="R233" s="375" t="s">
        <v>11</v>
      </c>
      <c r="S233" s="376"/>
      <c r="T233" s="376"/>
      <c r="U233" s="372">
        <v>43631</v>
      </c>
      <c r="V233" s="374" t="s">
        <v>675</v>
      </c>
      <c r="W233" s="376">
        <v>43631</v>
      </c>
      <c r="X233" s="376">
        <v>43635</v>
      </c>
      <c r="Y233" s="376">
        <v>43636</v>
      </c>
      <c r="Z233" s="376"/>
      <c r="AA233" s="376" t="str">
        <f>IF(Z233="","Рано","Когда?")</f>
        <v>Рано</v>
      </c>
      <c r="AB233" s="376">
        <v>43640</v>
      </c>
      <c r="AC233" s="250" t="str">
        <f t="shared" ref="AC233:AC240" ca="1" si="44">IF(AB233&lt;TODAY()-5,IF(AB233="","Еще рано","Уже не актуально"),IF(AB233&gt;TODAY()-2,"Еще рано","Пора отправлять"))</f>
        <v>Уже не актуально</v>
      </c>
      <c r="AD233" s="251">
        <f t="shared" si="43"/>
        <v>19</v>
      </c>
      <c r="AE233" s="234"/>
      <c r="AF233" s="255"/>
      <c r="AG233" s="237"/>
      <c r="AH233" s="236"/>
      <c r="AK233" s="255" t="s">
        <v>318</v>
      </c>
      <c r="AL233" s="202"/>
    </row>
    <row r="234" spans="1:38" ht="45" customHeight="1">
      <c r="A234" s="308" t="s">
        <v>83</v>
      </c>
      <c r="B234" s="308" t="s">
        <v>549</v>
      </c>
      <c r="C234" s="308" t="s">
        <v>604</v>
      </c>
      <c r="D234" s="309" t="s">
        <v>603</v>
      </c>
      <c r="E234" s="308" t="s">
        <v>745</v>
      </c>
      <c r="F234" s="308"/>
      <c r="G234" s="308" t="s">
        <v>433</v>
      </c>
      <c r="H234" s="308" t="s">
        <v>87</v>
      </c>
      <c r="I234" s="272"/>
      <c r="J234" s="272"/>
      <c r="K234" s="308"/>
      <c r="L234" s="400">
        <v>43620</v>
      </c>
      <c r="M234" s="372">
        <v>43674</v>
      </c>
      <c r="N234" s="376">
        <v>43623</v>
      </c>
      <c r="O234" s="400">
        <f>25</f>
        <v>25</v>
      </c>
      <c r="P234" s="373">
        <f>M234-O234</f>
        <v>43649</v>
      </c>
      <c r="Q234" s="374" t="s">
        <v>203</v>
      </c>
      <c r="R234" s="375" t="s">
        <v>11</v>
      </c>
      <c r="S234" s="376"/>
      <c r="T234" s="376"/>
      <c r="U234" s="372">
        <v>43685</v>
      </c>
      <c r="V234" s="397" t="s">
        <v>730</v>
      </c>
      <c r="W234" s="376">
        <v>43685</v>
      </c>
      <c r="X234" s="376">
        <v>43691</v>
      </c>
      <c r="Y234" s="376">
        <v>43697</v>
      </c>
      <c r="Z234" s="376"/>
      <c r="AA234" s="376" t="str">
        <f>IF(Z234="","Рано","Когда?")</f>
        <v>Рано</v>
      </c>
      <c r="AB234" s="376">
        <v>43698</v>
      </c>
      <c r="AC234" s="250" t="str">
        <f t="shared" ca="1" si="44"/>
        <v>Уже не актуально</v>
      </c>
      <c r="AD234" s="251">
        <f t="shared" si="43"/>
        <v>24</v>
      </c>
      <c r="AE234" s="234"/>
      <c r="AF234" s="255"/>
      <c r="AG234" s="237"/>
      <c r="AH234" s="236"/>
      <c r="AK234" s="255" t="s">
        <v>318</v>
      </c>
      <c r="AL234" s="210"/>
    </row>
    <row r="235" spans="1:38" ht="45" customHeight="1">
      <c r="A235" s="308" t="s">
        <v>83</v>
      </c>
      <c r="B235" s="308" t="s">
        <v>549</v>
      </c>
      <c r="C235" s="308" t="s">
        <v>604</v>
      </c>
      <c r="D235" s="309" t="s">
        <v>603</v>
      </c>
      <c r="E235" s="308" t="s">
        <v>745</v>
      </c>
      <c r="F235" s="310"/>
      <c r="G235" s="308" t="s">
        <v>433</v>
      </c>
      <c r="H235" s="310" t="s">
        <v>88</v>
      </c>
      <c r="I235" s="343"/>
      <c r="J235" s="343"/>
      <c r="K235" s="310"/>
      <c r="L235" s="401">
        <v>43711</v>
      </c>
      <c r="M235" s="402">
        <v>43738</v>
      </c>
      <c r="N235" s="399" t="s">
        <v>748</v>
      </c>
      <c r="O235" s="400">
        <f>25</f>
        <v>25</v>
      </c>
      <c r="P235" s="373">
        <f>M235-O235</f>
        <v>43713</v>
      </c>
      <c r="Q235" s="374" t="s">
        <v>203</v>
      </c>
      <c r="R235" s="375" t="s">
        <v>11</v>
      </c>
      <c r="S235" s="376"/>
      <c r="T235" s="399"/>
      <c r="U235" s="402">
        <v>43745</v>
      </c>
      <c r="V235" s="397" t="s">
        <v>766</v>
      </c>
      <c r="W235" s="402">
        <v>43745</v>
      </c>
      <c r="X235" s="376">
        <v>43747</v>
      </c>
      <c r="Y235" s="376">
        <v>43747</v>
      </c>
      <c r="Z235" s="399"/>
      <c r="AA235" s="399"/>
      <c r="AB235" s="405">
        <v>43749</v>
      </c>
      <c r="AC235" s="301" t="str">
        <f t="shared" ca="1" si="44"/>
        <v>Уже не актуально</v>
      </c>
      <c r="AD235" s="251">
        <f t="shared" si="43"/>
        <v>11</v>
      </c>
      <c r="AE235" s="234" t="s">
        <v>785</v>
      </c>
      <c r="AF235" s="255"/>
      <c r="AG235" s="237"/>
      <c r="AH235" s="236"/>
      <c r="AK235" s="255" t="s">
        <v>318</v>
      </c>
      <c r="AL235" s="220"/>
    </row>
    <row r="236" spans="1:38" ht="45" customHeight="1">
      <c r="A236" s="308" t="s">
        <v>83</v>
      </c>
      <c r="B236" s="308" t="s">
        <v>549</v>
      </c>
      <c r="C236" s="308" t="s">
        <v>604</v>
      </c>
      <c r="D236" s="309" t="s">
        <v>603</v>
      </c>
      <c r="E236" s="308" t="s">
        <v>798</v>
      </c>
      <c r="F236" s="310"/>
      <c r="G236" s="308" t="s">
        <v>433</v>
      </c>
      <c r="H236" s="310" t="s">
        <v>26</v>
      </c>
      <c r="I236" s="343"/>
      <c r="J236" s="343"/>
      <c r="K236" s="310" t="s">
        <v>831</v>
      </c>
      <c r="L236" s="401">
        <v>43770</v>
      </c>
      <c r="M236" s="402">
        <v>43814</v>
      </c>
      <c r="N236" s="399">
        <v>43795</v>
      </c>
      <c r="O236" s="401"/>
      <c r="P236" s="403"/>
      <c r="Q236" s="397"/>
      <c r="R236" s="404"/>
      <c r="S236" s="376"/>
      <c r="T236" s="399"/>
      <c r="U236" s="402">
        <f>M236</f>
        <v>43814</v>
      </c>
      <c r="V236" s="397" t="s">
        <v>830</v>
      </c>
      <c r="W236" s="402">
        <v>43814</v>
      </c>
      <c r="X236" s="376">
        <v>43833</v>
      </c>
      <c r="Y236" s="399">
        <v>43837</v>
      </c>
      <c r="Z236" s="399"/>
      <c r="AA236" s="399"/>
      <c r="AB236" s="421">
        <v>43839</v>
      </c>
      <c r="AC236" s="301" t="s">
        <v>870</v>
      </c>
      <c r="AD236" s="251">
        <f t="shared" si="43"/>
        <v>25</v>
      </c>
      <c r="AE236" s="234"/>
      <c r="AF236" s="255"/>
      <c r="AG236" s="237"/>
      <c r="AH236" s="236"/>
      <c r="AK236" s="255" t="s">
        <v>318</v>
      </c>
      <c r="AL236" s="228"/>
    </row>
    <row r="237" spans="1:38" ht="45" customHeight="1">
      <c r="A237" s="308" t="s">
        <v>83</v>
      </c>
      <c r="B237" s="308" t="s">
        <v>549</v>
      </c>
      <c r="C237" s="308" t="s">
        <v>604</v>
      </c>
      <c r="D237" s="309" t="s">
        <v>603</v>
      </c>
      <c r="E237" s="308" t="s">
        <v>798</v>
      </c>
      <c r="F237" s="310"/>
      <c r="G237" s="308" t="s">
        <v>433</v>
      </c>
      <c r="H237" s="310" t="s">
        <v>27</v>
      </c>
      <c r="I237" s="343"/>
      <c r="J237" s="343"/>
      <c r="K237" s="310" t="s">
        <v>832</v>
      </c>
      <c r="L237" s="401">
        <v>43777</v>
      </c>
      <c r="M237" s="402">
        <v>43845</v>
      </c>
      <c r="N237" s="399" t="s">
        <v>829</v>
      </c>
      <c r="O237" s="401"/>
      <c r="P237" s="403"/>
      <c r="Q237" s="397"/>
      <c r="R237" s="404"/>
      <c r="S237" s="376"/>
      <c r="T237" s="399"/>
      <c r="U237" s="402">
        <f>M237</f>
        <v>43845</v>
      </c>
      <c r="V237" s="397" t="s">
        <v>861</v>
      </c>
      <c r="W237" s="402"/>
      <c r="X237" s="376">
        <v>43845</v>
      </c>
      <c r="Y237" s="399"/>
      <c r="Z237" s="399"/>
      <c r="AA237" s="399"/>
      <c r="AB237" s="405"/>
      <c r="AC237" s="301" t="str">
        <f t="shared" ca="1" si="44"/>
        <v>Еще рано</v>
      </c>
      <c r="AD237" s="251"/>
      <c r="AE237" s="234" t="s">
        <v>863</v>
      </c>
      <c r="AF237" s="255"/>
      <c r="AG237" s="237"/>
      <c r="AH237" s="236"/>
      <c r="AK237" s="255" t="s">
        <v>318</v>
      </c>
      <c r="AL237" s="229"/>
    </row>
    <row r="238" spans="1:38" ht="45" customHeight="1">
      <c r="A238" s="308" t="s">
        <v>83</v>
      </c>
      <c r="B238" s="308" t="s">
        <v>549</v>
      </c>
      <c r="C238" s="308" t="s">
        <v>604</v>
      </c>
      <c r="D238" s="309" t="s">
        <v>603</v>
      </c>
      <c r="E238" s="308" t="s">
        <v>798</v>
      </c>
      <c r="F238" s="310"/>
      <c r="G238" s="308" t="s">
        <v>433</v>
      </c>
      <c r="H238" s="310" t="s">
        <v>135</v>
      </c>
      <c r="I238" s="343"/>
      <c r="J238" s="343"/>
      <c r="K238" s="310" t="s">
        <v>832</v>
      </c>
      <c r="L238" s="401">
        <v>43811</v>
      </c>
      <c r="M238" s="402">
        <v>43878</v>
      </c>
      <c r="N238" s="399"/>
      <c r="O238" s="401"/>
      <c r="P238" s="403"/>
      <c r="Q238" s="397"/>
      <c r="R238" s="404"/>
      <c r="S238" s="376"/>
      <c r="T238" s="399"/>
      <c r="U238" s="402">
        <f>M238</f>
        <v>43878</v>
      </c>
      <c r="V238" s="397" t="str">
        <f ca="1">IF(U238&gt;TODAY(),IF(U238&lt;TODAY()+17,"Пора отправлять","Еще рано"),"Уже не актуально")</f>
        <v>Уже не актуально</v>
      </c>
      <c r="W238" s="402"/>
      <c r="X238" s="376"/>
      <c r="Y238" s="399"/>
      <c r="Z238" s="399"/>
      <c r="AA238" s="399"/>
      <c r="AB238" s="405"/>
      <c r="AC238" s="301" t="str">
        <f t="shared" ca="1" si="44"/>
        <v>Еще рано</v>
      </c>
      <c r="AD238" s="251"/>
      <c r="AE238" s="234"/>
      <c r="AF238" s="255"/>
      <c r="AG238" s="237"/>
      <c r="AH238" s="236"/>
      <c r="AK238" s="255" t="s">
        <v>318</v>
      </c>
      <c r="AL238" s="229"/>
    </row>
    <row r="239" spans="1:38" ht="45" customHeight="1">
      <c r="A239" s="308" t="s">
        <v>83</v>
      </c>
      <c r="B239" s="308" t="s">
        <v>549</v>
      </c>
      <c r="C239" s="308" t="s">
        <v>604</v>
      </c>
      <c r="D239" s="309" t="s">
        <v>603</v>
      </c>
      <c r="E239" s="308" t="s">
        <v>798</v>
      </c>
      <c r="F239" s="310"/>
      <c r="G239" s="308" t="s">
        <v>433</v>
      </c>
      <c r="H239" s="310" t="s">
        <v>256</v>
      </c>
      <c r="I239" s="343"/>
      <c r="J239" s="343"/>
      <c r="K239" s="310"/>
      <c r="L239" s="401"/>
      <c r="M239" s="402"/>
      <c r="N239" s="399"/>
      <c r="O239" s="401"/>
      <c r="P239" s="403"/>
      <c r="Q239" s="397"/>
      <c r="R239" s="404"/>
      <c r="S239" s="376"/>
      <c r="T239" s="399"/>
      <c r="U239" s="402"/>
      <c r="V239" s="397"/>
      <c r="W239" s="402"/>
      <c r="X239" s="399"/>
      <c r="Y239" s="399"/>
      <c r="Z239" s="399"/>
      <c r="AA239" s="399"/>
      <c r="AB239" s="405" t="s">
        <v>878</v>
      </c>
      <c r="AC239" s="301" t="str">
        <f t="shared" ca="1" si="44"/>
        <v>Еще рано</v>
      </c>
      <c r="AD239" s="251"/>
      <c r="AE239" s="234"/>
      <c r="AF239" s="255"/>
      <c r="AG239" s="237"/>
      <c r="AH239" s="236"/>
      <c r="AK239" s="255"/>
      <c r="AL239" s="231"/>
    </row>
    <row r="240" spans="1:38" ht="45" customHeight="1">
      <c r="A240" s="308" t="s">
        <v>83</v>
      </c>
      <c r="B240" s="308" t="s">
        <v>549</v>
      </c>
      <c r="C240" s="308" t="s">
        <v>604</v>
      </c>
      <c r="D240" s="309" t="s">
        <v>603</v>
      </c>
      <c r="E240" s="308" t="s">
        <v>798</v>
      </c>
      <c r="F240" s="310"/>
      <c r="G240" s="308" t="s">
        <v>433</v>
      </c>
      <c r="H240" s="310" t="s">
        <v>295</v>
      </c>
      <c r="I240" s="343"/>
      <c r="J240" s="343"/>
      <c r="K240" s="310"/>
      <c r="L240" s="401"/>
      <c r="M240" s="402"/>
      <c r="N240" s="399"/>
      <c r="O240" s="401"/>
      <c r="P240" s="403"/>
      <c r="Q240" s="397"/>
      <c r="R240" s="404"/>
      <c r="S240" s="376"/>
      <c r="T240" s="399"/>
      <c r="U240" s="402">
        <v>43935</v>
      </c>
      <c r="V240" s="397" t="str">
        <f ca="1">IF(U240&gt;TODAY(),IF(U240&lt;TODAY()+17,"Пора отправлять","Еще рано"),"Уже не актуально")</f>
        <v>Пора отправлять</v>
      </c>
      <c r="W240" s="402"/>
      <c r="X240" s="376" t="str">
        <f ca="1">IF(U240&lt;=TODAY()+10,"Пора","Рано")</f>
        <v>Рано</v>
      </c>
      <c r="Y240" s="399"/>
      <c r="Z240" s="399"/>
      <c r="AA240" s="399"/>
      <c r="AB240" s="405"/>
      <c r="AC240" s="301" t="str">
        <f t="shared" ca="1" si="44"/>
        <v>Еще рано</v>
      </c>
      <c r="AD240" s="251"/>
      <c r="AE240" s="234"/>
      <c r="AF240" s="255"/>
      <c r="AG240" s="237"/>
      <c r="AH240" s="236"/>
      <c r="AK240" s="255"/>
      <c r="AL240" s="231"/>
    </row>
    <row r="241" spans="1:38" ht="52.5" customHeight="1">
      <c r="A241" s="344" t="s">
        <v>576</v>
      </c>
      <c r="B241" s="344" t="s">
        <v>578</v>
      </c>
      <c r="C241" s="344" t="s">
        <v>613</v>
      </c>
      <c r="D241" s="344" t="s">
        <v>120</v>
      </c>
      <c r="E241" s="344" t="s">
        <v>639</v>
      </c>
      <c r="F241" s="344"/>
      <c r="G241" s="344" t="s">
        <v>433</v>
      </c>
      <c r="H241" s="344" t="s">
        <v>29</v>
      </c>
      <c r="I241" s="345"/>
      <c r="J241" s="345"/>
      <c r="K241" s="344" t="s">
        <v>616</v>
      </c>
      <c r="L241" s="422">
        <v>43475</v>
      </c>
      <c r="M241" s="402">
        <v>43539</v>
      </c>
      <c r="N241" s="399">
        <v>43517</v>
      </c>
      <c r="O241" s="422">
        <v>25</v>
      </c>
      <c r="P241" s="403">
        <f>M241-O241</f>
        <v>43514</v>
      </c>
      <c r="Q241" s="397" t="str">
        <f ca="1">IF(P241&gt;=TODAY()-5,IF(P241&lt;TODAY()+6,"Пора отправлять","Еще рано"),"Уже не актуально")</f>
        <v>Уже не актуально</v>
      </c>
      <c r="R241" s="404" t="s">
        <v>11</v>
      </c>
      <c r="S241" s="376" t="s">
        <v>655</v>
      </c>
      <c r="T241" s="399"/>
      <c r="U241" s="402">
        <v>43565</v>
      </c>
      <c r="V241" s="397" t="s">
        <v>601</v>
      </c>
      <c r="W241" s="399">
        <v>43571</v>
      </c>
      <c r="X241" s="399">
        <v>43571</v>
      </c>
      <c r="Y241" s="402">
        <v>43572</v>
      </c>
      <c r="Z241" s="399"/>
      <c r="AA241" s="399" t="str">
        <f>IF(Z241="","Рано","Когда?")</f>
        <v>Рано</v>
      </c>
      <c r="AB241" s="405">
        <v>43579</v>
      </c>
      <c r="AC241" s="301" t="s">
        <v>645</v>
      </c>
      <c r="AD241" s="251">
        <f>AB241-M241</f>
        <v>40</v>
      </c>
      <c r="AE241" s="252" t="s">
        <v>647</v>
      </c>
      <c r="AF241" s="346"/>
      <c r="AG241" s="237"/>
      <c r="AH241" s="237"/>
      <c r="AI241" s="347"/>
      <c r="AJ241" s="347"/>
      <c r="AK241" s="346" t="s">
        <v>579</v>
      </c>
      <c r="AL241" s="200"/>
    </row>
    <row r="242" spans="1:38" ht="52.5" customHeight="1">
      <c r="A242" s="344" t="s">
        <v>576</v>
      </c>
      <c r="B242" s="344" t="s">
        <v>578</v>
      </c>
      <c r="C242" s="344" t="s">
        <v>613</v>
      </c>
      <c r="D242" s="344" t="s">
        <v>120</v>
      </c>
      <c r="E242" s="344" t="s">
        <v>639</v>
      </c>
      <c r="F242" s="344"/>
      <c r="G242" s="344" t="s">
        <v>433</v>
      </c>
      <c r="H242" s="344" t="s">
        <v>30</v>
      </c>
      <c r="I242" s="345"/>
      <c r="J242" s="345"/>
      <c r="K242" s="344" t="s">
        <v>753</v>
      </c>
      <c r="L242" s="422">
        <v>43640</v>
      </c>
      <c r="M242" s="402">
        <f>N242+21</f>
        <v>43704</v>
      </c>
      <c r="N242" s="399">
        <v>43683</v>
      </c>
      <c r="O242" s="422">
        <v>25</v>
      </c>
      <c r="P242" s="403">
        <f>M242-O242</f>
        <v>43679</v>
      </c>
      <c r="Q242" s="397" t="str">
        <f ca="1">IF(P242&gt;=TODAY()-5,IF(P242&lt;TODAY()+6,"Пора отправлять","Еще рано"),"Уже не актуально")</f>
        <v>Уже не актуально</v>
      </c>
      <c r="R242" s="404" t="s">
        <v>11</v>
      </c>
      <c r="S242" s="376" t="s">
        <v>655</v>
      </c>
      <c r="T242" s="399"/>
      <c r="U242" s="402">
        <f>M242+14</f>
        <v>43718</v>
      </c>
      <c r="V242" s="397" t="s">
        <v>747</v>
      </c>
      <c r="W242" s="399">
        <v>43726</v>
      </c>
      <c r="X242" s="376">
        <v>43728</v>
      </c>
      <c r="Y242" s="376">
        <v>43728</v>
      </c>
      <c r="Z242" s="399"/>
      <c r="AA242" s="399"/>
      <c r="AB242" s="405">
        <v>43733</v>
      </c>
      <c r="AC242" s="250" t="str">
        <f ca="1">IF(AB242&lt;TODAY()-5,IF(AB242="","Еще рано","Уже не актуально"),IF(AB242&gt;TODAY()-2,"Еще рано","Пора отправлять"))</f>
        <v>Уже не актуально</v>
      </c>
      <c r="AD242" s="251">
        <f>AB242-M242</f>
        <v>29</v>
      </c>
      <c r="AE242" s="252"/>
      <c r="AF242" s="346"/>
      <c r="AG242" s="237"/>
      <c r="AH242" s="237"/>
      <c r="AI242" s="347"/>
      <c r="AJ242" s="347"/>
      <c r="AK242" s="346" t="s">
        <v>579</v>
      </c>
      <c r="AL242" s="200"/>
    </row>
    <row r="243" spans="1:38" ht="52.5" customHeight="1">
      <c r="A243" s="344" t="s">
        <v>576</v>
      </c>
      <c r="B243" s="344" t="s">
        <v>578</v>
      </c>
      <c r="C243" s="275" t="s">
        <v>613</v>
      </c>
      <c r="D243" s="275" t="s">
        <v>120</v>
      </c>
      <c r="E243" s="275" t="s">
        <v>639</v>
      </c>
      <c r="F243" s="344"/>
      <c r="G243" s="344" t="s">
        <v>433</v>
      </c>
      <c r="H243" s="344" t="s">
        <v>87</v>
      </c>
      <c r="I243" s="345"/>
      <c r="J243" s="345"/>
      <c r="K243" s="344" t="s">
        <v>753</v>
      </c>
      <c r="L243" s="422">
        <v>43691</v>
      </c>
      <c r="M243" s="402">
        <v>43718</v>
      </c>
      <c r="N243" s="399" t="s">
        <v>748</v>
      </c>
      <c r="O243" s="422">
        <v>25</v>
      </c>
      <c r="P243" s="403">
        <f>M243-O243</f>
        <v>43693</v>
      </c>
      <c r="Q243" s="397" t="str">
        <f ca="1">IF(P243&gt;=TODAY()-5,IF(P243&lt;TODAY()+6,"Пора отправлять","Еще рано"),"Уже не актуально")</f>
        <v>Уже не актуально</v>
      </c>
      <c r="R243" s="404" t="s">
        <v>11</v>
      </c>
      <c r="S243" s="376" t="s">
        <v>655</v>
      </c>
      <c r="T243" s="399"/>
      <c r="U243" s="402">
        <f t="shared" ref="U243:U256" si="45">M243</f>
        <v>43718</v>
      </c>
      <c r="V243" s="397" t="s">
        <v>760</v>
      </c>
      <c r="W243" s="399">
        <v>43726</v>
      </c>
      <c r="X243" s="376">
        <v>43728</v>
      </c>
      <c r="Y243" s="376">
        <v>43728</v>
      </c>
      <c r="Z243" s="399"/>
      <c r="AA243" s="399"/>
      <c r="AB243" s="405">
        <v>43733</v>
      </c>
      <c r="AC243" s="250" t="str">
        <f ca="1">IF(AB243&lt;TODAY()-5,IF(AB243="","Еще рано","Уже не актуально"),IF(AB243&gt;TODAY()-2,"Еще рано","Пора отправлять"))</f>
        <v>Уже не актуально</v>
      </c>
      <c r="AD243" s="251">
        <f>AB243-M243</f>
        <v>15</v>
      </c>
      <c r="AE243" s="252" t="s">
        <v>824</v>
      </c>
      <c r="AF243" s="346"/>
      <c r="AG243" s="237"/>
      <c r="AH243" s="237"/>
      <c r="AI243" s="347"/>
      <c r="AJ243" s="347"/>
      <c r="AK243" s="346" t="s">
        <v>579</v>
      </c>
      <c r="AL243" s="200"/>
    </row>
    <row r="244" spans="1:38" ht="52.5" customHeight="1">
      <c r="A244" s="344" t="s">
        <v>576</v>
      </c>
      <c r="B244" s="344" t="s">
        <v>578</v>
      </c>
      <c r="C244" s="275" t="s">
        <v>613</v>
      </c>
      <c r="D244" s="275" t="s">
        <v>120</v>
      </c>
      <c r="E244" s="275" t="s">
        <v>869</v>
      </c>
      <c r="F244" s="344" t="s">
        <v>157</v>
      </c>
      <c r="G244" s="344" t="s">
        <v>433</v>
      </c>
      <c r="H244" s="344" t="s">
        <v>88</v>
      </c>
      <c r="I244" s="345"/>
      <c r="J244" s="345"/>
      <c r="K244" s="344"/>
      <c r="L244" s="422">
        <v>43759</v>
      </c>
      <c r="M244" s="402">
        <v>43804</v>
      </c>
      <c r="N244" s="399"/>
      <c r="O244" s="422"/>
      <c r="P244" s="403"/>
      <c r="Q244" s="397"/>
      <c r="R244" s="404"/>
      <c r="S244" s="399"/>
      <c r="T244" s="399"/>
      <c r="U244" s="402">
        <f>M244+40</f>
        <v>43844</v>
      </c>
      <c r="V244" s="397" t="s">
        <v>822</v>
      </c>
      <c r="W244" s="399"/>
      <c r="X244" s="376" t="s">
        <v>904</v>
      </c>
      <c r="Y244" s="399"/>
      <c r="Z244" s="399"/>
      <c r="AA244" s="399"/>
      <c r="AB244" s="405">
        <v>43901</v>
      </c>
      <c r="AC244" s="250" t="str">
        <f ca="1">IF(AB244&lt;TODAY()-5,IF(AB244="","Еще рано","Уже не актуально"),IF(AB244&gt;TODAY()-2,"Еще рано","Пора отправлять"))</f>
        <v>Уже не актуально</v>
      </c>
      <c r="AD244" s="313"/>
      <c r="AE244" s="252" t="s">
        <v>825</v>
      </c>
      <c r="AF244" s="346"/>
      <c r="AG244" s="237"/>
      <c r="AH244" s="237"/>
      <c r="AI244" s="347"/>
      <c r="AJ244" s="347"/>
      <c r="AK244" s="346" t="s">
        <v>579</v>
      </c>
      <c r="AL244" s="200"/>
    </row>
    <row r="245" spans="1:38" ht="47.25" customHeight="1">
      <c r="A245" s="325" t="s">
        <v>576</v>
      </c>
      <c r="B245" s="325" t="s">
        <v>611</v>
      </c>
      <c r="C245" s="324" t="s">
        <v>612</v>
      </c>
      <c r="D245" s="348" t="s">
        <v>634</v>
      </c>
      <c r="E245" s="324" t="s">
        <v>639</v>
      </c>
      <c r="F245" s="325"/>
      <c r="G245" s="325" t="s">
        <v>433</v>
      </c>
      <c r="H245" s="325" t="s">
        <v>29</v>
      </c>
      <c r="I245" s="325"/>
      <c r="J245" s="325"/>
      <c r="K245" s="325" t="s">
        <v>614</v>
      </c>
      <c r="L245" s="413">
        <v>43553</v>
      </c>
      <c r="M245" s="402">
        <v>43590</v>
      </c>
      <c r="N245" s="399">
        <v>43565</v>
      </c>
      <c r="O245" s="413">
        <v>25</v>
      </c>
      <c r="P245" s="403">
        <f>M245-O245</f>
        <v>43565</v>
      </c>
      <c r="Q245" s="397" t="s">
        <v>203</v>
      </c>
      <c r="R245" s="404" t="s">
        <v>11</v>
      </c>
      <c r="S245" s="399" t="s">
        <v>656</v>
      </c>
      <c r="T245" s="399"/>
      <c r="U245" s="402">
        <f t="shared" si="45"/>
        <v>43590</v>
      </c>
      <c r="V245" s="397" t="s">
        <v>645</v>
      </c>
      <c r="W245" s="399">
        <v>43600</v>
      </c>
      <c r="X245" s="399">
        <v>43604</v>
      </c>
      <c r="Y245" s="402">
        <v>43605</v>
      </c>
      <c r="Z245" s="399"/>
      <c r="AA245" s="399" t="str">
        <f>IF(Z245="","Рано","Когда?")</f>
        <v>Рано</v>
      </c>
      <c r="AB245" s="399">
        <v>43614</v>
      </c>
      <c r="AC245" s="301" t="s">
        <v>678</v>
      </c>
      <c r="AD245" s="313">
        <f t="shared" ref="AD245:AD255" si="46">AB245-M245</f>
        <v>24</v>
      </c>
      <c r="AE245" s="252"/>
      <c r="AF245" s="346"/>
      <c r="AG245" s="237"/>
      <c r="AH245" s="237"/>
      <c r="AI245" s="347"/>
      <c r="AJ245" s="347"/>
      <c r="AK245" s="346" t="s">
        <v>579</v>
      </c>
      <c r="AL245" s="15"/>
    </row>
    <row r="246" spans="1:38" ht="57" hidden="1">
      <c r="A246" s="349" t="s">
        <v>576</v>
      </c>
      <c r="B246" s="272" t="s">
        <v>686</v>
      </c>
      <c r="C246" s="272" t="s">
        <v>604</v>
      </c>
      <c r="D246" s="350" t="s">
        <v>685</v>
      </c>
      <c r="E246" s="349" t="s">
        <v>639</v>
      </c>
      <c r="F246" s="272"/>
      <c r="G246" s="349" t="s">
        <v>433</v>
      </c>
      <c r="H246" s="349" t="s">
        <v>29</v>
      </c>
      <c r="I246" s="272"/>
      <c r="J246" s="272"/>
      <c r="K246" s="349" t="s">
        <v>87</v>
      </c>
      <c r="L246" s="423">
        <v>43636</v>
      </c>
      <c r="M246" s="372">
        <v>43730</v>
      </c>
      <c r="N246" s="376">
        <v>43705</v>
      </c>
      <c r="O246" s="423">
        <v>25</v>
      </c>
      <c r="P246" s="376">
        <f>M246-O246</f>
        <v>43705</v>
      </c>
      <c r="Q246" s="397" t="str">
        <f t="shared" ref="Q246:Q263" ca="1" si="47">IF(P246&gt;=TODAY()-5,IF(P246&lt;TODAY()+6,"Пора отправлять","Еще рано"),"Уже не актуально")</f>
        <v>Уже не актуально</v>
      </c>
      <c r="R246" s="376"/>
      <c r="S246" s="376"/>
      <c r="T246" s="376"/>
      <c r="U246" s="376">
        <v>43748</v>
      </c>
      <c r="V246" s="397" t="s">
        <v>766</v>
      </c>
      <c r="W246" s="376">
        <v>43751</v>
      </c>
      <c r="X246" s="376">
        <v>43751</v>
      </c>
      <c r="Y246" s="376">
        <v>43752</v>
      </c>
      <c r="Z246" s="376"/>
      <c r="AA246" s="376"/>
      <c r="AB246" s="385">
        <v>43780</v>
      </c>
      <c r="AC246" s="250" t="str">
        <f t="shared" ref="AC246:AC263" ca="1" si="48">IF(AB246&lt;TODAY()-5,IF(AB246="","Еще рано","Уже не актуально"),IF(AB246&gt;TODAY()-2,"Еще рано","Пора отправлять"))</f>
        <v>Уже не актуально</v>
      </c>
      <c r="AD246" s="251">
        <f t="shared" si="46"/>
        <v>50</v>
      </c>
      <c r="AG246" s="237"/>
      <c r="AH246" s="236"/>
      <c r="AK246" s="346" t="s">
        <v>579</v>
      </c>
      <c r="AL246" s="40"/>
    </row>
    <row r="247" spans="1:38" ht="30" customHeight="1">
      <c r="A247" s="351" t="s">
        <v>576</v>
      </c>
      <c r="B247" s="351" t="s">
        <v>680</v>
      </c>
      <c r="C247" s="352" t="s">
        <v>731</v>
      </c>
      <c r="D247" s="353" t="s">
        <v>679</v>
      </c>
      <c r="E247" s="352" t="s">
        <v>639</v>
      </c>
      <c r="F247" s="351"/>
      <c r="G247" s="351" t="s">
        <v>433</v>
      </c>
      <c r="H247" s="351" t="s">
        <v>29</v>
      </c>
      <c r="I247" s="351"/>
      <c r="J247" s="351"/>
      <c r="K247" s="351" t="s">
        <v>750</v>
      </c>
      <c r="L247" s="424">
        <v>43636</v>
      </c>
      <c r="M247" s="402">
        <v>43737</v>
      </c>
      <c r="N247" s="399">
        <v>43683</v>
      </c>
      <c r="O247" s="425">
        <v>25</v>
      </c>
      <c r="P247" s="376">
        <f>M247-O247</f>
        <v>43712</v>
      </c>
      <c r="Q247" s="397" t="str">
        <f t="shared" ca="1" si="47"/>
        <v>Уже не актуально</v>
      </c>
      <c r="R247" s="399"/>
      <c r="S247" s="399"/>
      <c r="T247" s="399"/>
      <c r="U247" s="376">
        <f t="shared" si="45"/>
        <v>43737</v>
      </c>
      <c r="V247" s="397" t="s">
        <v>765</v>
      </c>
      <c r="W247" s="376">
        <v>43751</v>
      </c>
      <c r="X247" s="376">
        <v>43751</v>
      </c>
      <c r="Y247" s="376">
        <v>43752</v>
      </c>
      <c r="Z247" s="399"/>
      <c r="AA247" s="399"/>
      <c r="AB247" s="385">
        <v>43780</v>
      </c>
      <c r="AC247" s="250" t="str">
        <f t="shared" ca="1" si="48"/>
        <v>Уже не актуально</v>
      </c>
      <c r="AD247" s="313">
        <f t="shared" si="46"/>
        <v>43</v>
      </c>
      <c r="AG247" s="237"/>
      <c r="AH247" s="236"/>
      <c r="AK247" s="346" t="s">
        <v>579</v>
      </c>
      <c r="AL247" s="40"/>
    </row>
    <row r="248" spans="1:38" ht="30" customHeight="1">
      <c r="A248" s="351" t="s">
        <v>576</v>
      </c>
      <c r="B248" s="351" t="s">
        <v>680</v>
      </c>
      <c r="C248" s="352" t="s">
        <v>731</v>
      </c>
      <c r="D248" s="353" t="s">
        <v>679</v>
      </c>
      <c r="E248" s="352" t="s">
        <v>639</v>
      </c>
      <c r="F248" s="351"/>
      <c r="G248" s="351" t="s">
        <v>433</v>
      </c>
      <c r="H248" s="351" t="s">
        <v>30</v>
      </c>
      <c r="I248" s="351"/>
      <c r="J248" s="351"/>
      <c r="K248" s="351" t="s">
        <v>857</v>
      </c>
      <c r="L248" s="424">
        <v>43728</v>
      </c>
      <c r="M248" s="402">
        <v>43778</v>
      </c>
      <c r="N248" s="399"/>
      <c r="O248" s="425">
        <v>25</v>
      </c>
      <c r="P248" s="376"/>
      <c r="Q248" s="397" t="str">
        <f t="shared" ca="1" si="47"/>
        <v>Уже не актуально</v>
      </c>
      <c r="R248" s="404" t="s">
        <v>11</v>
      </c>
      <c r="S248" s="399"/>
      <c r="T248" s="399"/>
      <c r="U248" s="376">
        <v>43927</v>
      </c>
      <c r="V248" s="397" t="s">
        <v>861</v>
      </c>
      <c r="W248" s="399"/>
      <c r="X248" s="376" t="str">
        <f ca="1">IF(U248&lt;=TODAY()+10,"Пора","Рано")</f>
        <v>Пора</v>
      </c>
      <c r="Y248" s="399"/>
      <c r="Z248" s="399"/>
      <c r="AA248" s="399"/>
      <c r="AB248" s="399"/>
      <c r="AC248" s="250" t="str">
        <f ca="1">IF(AB248&lt;TODAY()-5,IF(AB248="","Еще рано","Уже не актуально"),IF(AB248&gt;TODAY()-2,"Еще рано","Пора отправлять"))</f>
        <v>Еще рано</v>
      </c>
      <c r="AD248" s="313">
        <f t="shared" si="46"/>
        <v>-43778</v>
      </c>
      <c r="AE248" s="234" t="s">
        <v>855</v>
      </c>
      <c r="AG248" s="237"/>
      <c r="AH248" s="236"/>
      <c r="AK248" s="346" t="s">
        <v>579</v>
      </c>
      <c r="AL248" s="226"/>
    </row>
    <row r="249" spans="1:38" ht="30" customHeight="1">
      <c r="A249" s="351" t="s">
        <v>576</v>
      </c>
      <c r="B249" s="351" t="s">
        <v>680</v>
      </c>
      <c r="C249" s="352" t="s">
        <v>731</v>
      </c>
      <c r="D249" s="353" t="s">
        <v>905</v>
      </c>
      <c r="E249" s="352" t="s">
        <v>639</v>
      </c>
      <c r="F249" s="351"/>
      <c r="G249" s="351" t="s">
        <v>433</v>
      </c>
      <c r="H249" s="351" t="s">
        <v>87</v>
      </c>
      <c r="I249" s="351"/>
      <c r="J249" s="351"/>
      <c r="K249" s="351"/>
      <c r="L249" s="424"/>
      <c r="M249" s="402"/>
      <c r="N249" s="399"/>
      <c r="O249" s="425"/>
      <c r="P249" s="376"/>
      <c r="Q249" s="397"/>
      <c r="R249" s="404"/>
      <c r="S249" s="399"/>
      <c r="T249" s="399"/>
      <c r="U249" s="376"/>
      <c r="V249" s="374"/>
      <c r="W249" s="399"/>
      <c r="X249" s="376"/>
      <c r="Y249" s="399"/>
      <c r="Z249" s="399"/>
      <c r="AA249" s="399"/>
      <c r="AB249" s="399"/>
      <c r="AC249" s="250"/>
      <c r="AD249" s="313"/>
      <c r="AE249" s="234"/>
      <c r="AG249" s="237"/>
      <c r="AH249" s="236"/>
      <c r="AK249" s="346"/>
      <c r="AL249" s="232"/>
    </row>
    <row r="250" spans="1:38" ht="30" customHeight="1">
      <c r="A250" s="351" t="s">
        <v>576</v>
      </c>
      <c r="B250" s="351" t="s">
        <v>680</v>
      </c>
      <c r="C250" s="352" t="s">
        <v>731</v>
      </c>
      <c r="D250" s="353" t="s">
        <v>906</v>
      </c>
      <c r="E250" s="352" t="s">
        <v>639</v>
      </c>
      <c r="F250" s="351"/>
      <c r="G250" s="351" t="s">
        <v>433</v>
      </c>
      <c r="H250" s="351" t="s">
        <v>88</v>
      </c>
      <c r="I250" s="351"/>
      <c r="J250" s="351"/>
      <c r="K250" s="351"/>
      <c r="L250" s="424"/>
      <c r="M250" s="402"/>
      <c r="N250" s="399"/>
      <c r="O250" s="425"/>
      <c r="P250" s="376"/>
      <c r="Q250" s="397"/>
      <c r="R250" s="404"/>
      <c r="S250" s="399"/>
      <c r="T250" s="399"/>
      <c r="U250" s="376"/>
      <c r="V250" s="397"/>
      <c r="W250" s="399"/>
      <c r="X250" s="376"/>
      <c r="Y250" s="399"/>
      <c r="Z250" s="399"/>
      <c r="AA250" s="399"/>
      <c r="AB250" s="399"/>
      <c r="AC250" s="250"/>
      <c r="AD250" s="313"/>
      <c r="AE250" s="234"/>
      <c r="AG250" s="237"/>
      <c r="AH250" s="236"/>
      <c r="AK250" s="346"/>
      <c r="AL250" s="232"/>
    </row>
    <row r="251" spans="1:38" ht="71.25">
      <c r="A251" s="354" t="s">
        <v>732</v>
      </c>
      <c r="B251" s="354" t="s">
        <v>775</v>
      </c>
      <c r="C251" s="354" t="s">
        <v>733</v>
      </c>
      <c r="D251" s="354" t="s">
        <v>695</v>
      </c>
      <c r="E251" s="354" t="s">
        <v>639</v>
      </c>
      <c r="F251" s="354"/>
      <c r="G251" s="355" t="s">
        <v>433</v>
      </c>
      <c r="H251" s="355" t="s">
        <v>29</v>
      </c>
      <c r="I251" s="354"/>
      <c r="J251" s="354"/>
      <c r="K251" s="354" t="s">
        <v>783</v>
      </c>
      <c r="L251" s="426">
        <v>43686</v>
      </c>
      <c r="M251" s="372">
        <v>43748</v>
      </c>
      <c r="N251" s="376">
        <v>43704</v>
      </c>
      <c r="O251" s="423">
        <v>25</v>
      </c>
      <c r="P251" s="376">
        <f>M251-O251</f>
        <v>43723</v>
      </c>
      <c r="Q251" s="397" t="str">
        <f t="shared" ca="1" si="47"/>
        <v>Уже не актуально</v>
      </c>
      <c r="R251" s="376" t="s">
        <v>111</v>
      </c>
      <c r="S251" s="376"/>
      <c r="T251" s="376"/>
      <c r="U251" s="376">
        <f t="shared" si="45"/>
        <v>43748</v>
      </c>
      <c r="V251" s="397" t="s">
        <v>781</v>
      </c>
      <c r="W251" s="376">
        <v>43753</v>
      </c>
      <c r="X251" s="376">
        <v>43753</v>
      </c>
      <c r="Y251" s="376" t="s">
        <v>782</v>
      </c>
      <c r="Z251" s="376"/>
      <c r="AA251" s="376"/>
      <c r="AB251" s="376">
        <v>43754</v>
      </c>
      <c r="AC251" s="250" t="str">
        <f t="shared" ca="1" si="48"/>
        <v>Уже не актуально</v>
      </c>
      <c r="AD251" s="313">
        <f t="shared" si="46"/>
        <v>6</v>
      </c>
      <c r="AG251" s="237"/>
      <c r="AH251" s="236"/>
      <c r="AK251" s="255" t="s">
        <v>774</v>
      </c>
      <c r="AL251" s="40"/>
    </row>
    <row r="252" spans="1:38" ht="71.25">
      <c r="A252" s="354" t="s">
        <v>732</v>
      </c>
      <c r="B252" s="354" t="s">
        <v>775</v>
      </c>
      <c r="C252" s="354" t="s">
        <v>733</v>
      </c>
      <c r="D252" s="354" t="s">
        <v>695</v>
      </c>
      <c r="E252" s="354" t="s">
        <v>776</v>
      </c>
      <c r="F252" s="354" t="s">
        <v>157</v>
      </c>
      <c r="G252" s="355" t="s">
        <v>433</v>
      </c>
      <c r="H252" s="355" t="s">
        <v>30</v>
      </c>
      <c r="I252" s="354"/>
      <c r="J252" s="354"/>
      <c r="K252" s="354"/>
      <c r="L252" s="426">
        <v>43726</v>
      </c>
      <c r="M252" s="372">
        <v>43767</v>
      </c>
      <c r="N252" s="376"/>
      <c r="O252" s="423">
        <v>25</v>
      </c>
      <c r="P252" s="376"/>
      <c r="Q252" s="397" t="str">
        <f t="shared" ca="1" si="47"/>
        <v>Уже не актуально</v>
      </c>
      <c r="R252" s="376"/>
      <c r="S252" s="376"/>
      <c r="T252" s="376"/>
      <c r="U252" s="376">
        <v>43774</v>
      </c>
      <c r="V252" s="397" t="s">
        <v>791</v>
      </c>
      <c r="W252" s="376">
        <v>43774</v>
      </c>
      <c r="X252" s="376" t="s">
        <v>177</v>
      </c>
      <c r="Y252" s="376" t="s">
        <v>177</v>
      </c>
      <c r="Z252" s="376"/>
      <c r="AA252" s="376"/>
      <c r="AB252" s="376">
        <v>43775</v>
      </c>
      <c r="AC252" s="250" t="str">
        <f ca="1">IF(AB252&lt;TODAY()-5,IF(AB252="","Еще рано","Уже не актуально"),IF(AB252&gt;TODAY()-2,"Еще рано","Пора отправлять"))</f>
        <v>Уже не актуально</v>
      </c>
      <c r="AD252" s="313">
        <f t="shared" si="46"/>
        <v>8</v>
      </c>
      <c r="AG252" s="237"/>
      <c r="AH252" s="236"/>
      <c r="AK252" s="255" t="s">
        <v>774</v>
      </c>
      <c r="AL252" s="226"/>
    </row>
    <row r="253" spans="1:38" ht="71.25">
      <c r="A253" s="354" t="s">
        <v>732</v>
      </c>
      <c r="B253" s="354" t="s">
        <v>775</v>
      </c>
      <c r="C253" s="354" t="s">
        <v>733</v>
      </c>
      <c r="D253" s="354" t="s">
        <v>695</v>
      </c>
      <c r="E253" s="354" t="s">
        <v>776</v>
      </c>
      <c r="F253" s="354" t="s">
        <v>157</v>
      </c>
      <c r="G253" s="355" t="s">
        <v>433</v>
      </c>
      <c r="H253" s="355" t="s">
        <v>87</v>
      </c>
      <c r="I253" s="354"/>
      <c r="J253" s="354"/>
      <c r="K253" s="354" t="s">
        <v>783</v>
      </c>
      <c r="L253" s="426">
        <v>43801</v>
      </c>
      <c r="M253" s="372">
        <v>43840</v>
      </c>
      <c r="N253" s="376"/>
      <c r="O253" s="423"/>
      <c r="P253" s="376"/>
      <c r="Q253" s="397"/>
      <c r="R253" s="376"/>
      <c r="S253" s="376"/>
      <c r="T253" s="376"/>
      <c r="U253" s="376">
        <f>M253</f>
        <v>43840</v>
      </c>
      <c r="V253" s="397" t="s">
        <v>854</v>
      </c>
      <c r="W253" s="376">
        <v>43839</v>
      </c>
      <c r="X253" s="376" t="s">
        <v>780</v>
      </c>
      <c r="Y253" s="376"/>
      <c r="Z253" s="376"/>
      <c r="AA253" s="376"/>
      <c r="AB253" s="385" t="s">
        <v>902</v>
      </c>
      <c r="AC253" s="250" t="str">
        <f ca="1">IF(AB253&lt;TODAY()-5,IF(AB253="","Еще рано","Уже не актуально"),IF(AB253&gt;TODAY()-2,"Еще рано","Пора отправлять"))</f>
        <v>Еще рано</v>
      </c>
      <c r="AD253" s="313" t="e">
        <f t="shared" si="46"/>
        <v>#VALUE!</v>
      </c>
      <c r="AG253" s="237"/>
      <c r="AH253" s="236"/>
      <c r="AK253" s="255" t="s">
        <v>774</v>
      </c>
      <c r="AL253" s="229"/>
    </row>
    <row r="254" spans="1:38" ht="71.25">
      <c r="A254" s="354" t="s">
        <v>732</v>
      </c>
      <c r="B254" s="354" t="s">
        <v>775</v>
      </c>
      <c r="C254" s="354" t="s">
        <v>733</v>
      </c>
      <c r="D254" s="354" t="s">
        <v>695</v>
      </c>
      <c r="E254" s="354" t="s">
        <v>903</v>
      </c>
      <c r="F254" s="354" t="s">
        <v>157</v>
      </c>
      <c r="G254" s="355" t="s">
        <v>433</v>
      </c>
      <c r="H254" s="355" t="s">
        <v>88</v>
      </c>
      <c r="I254" s="354"/>
      <c r="J254" s="354"/>
      <c r="K254" s="354" t="s">
        <v>783</v>
      </c>
      <c r="L254" s="426"/>
      <c r="M254" s="2"/>
      <c r="N254" s="376"/>
      <c r="O254" s="423"/>
      <c r="P254" s="376"/>
      <c r="Q254" s="397"/>
      <c r="R254" s="376"/>
      <c r="S254" s="376"/>
      <c r="T254" s="376"/>
      <c r="U254" s="372">
        <v>43941</v>
      </c>
      <c r="V254" s="374" t="str">
        <f ca="1">IF(U254&gt;TODAY(),IF(U254&lt;TODAY()+17,"Пора отправлять","Еще рано"),"Уже не актуально")</f>
        <v>Еще рано</v>
      </c>
      <c r="W254" s="376"/>
      <c r="X254" s="376" t="str">
        <f ca="1">IF(U254&lt;=TODAY()+10,"Пора","Рано")</f>
        <v>Рано</v>
      </c>
      <c r="Y254" s="376"/>
      <c r="Z254" s="376"/>
      <c r="AA254" s="376"/>
      <c r="AB254" s="385"/>
      <c r="AC254" s="250" t="str">
        <f ca="1">IF(AB254&lt;TODAY()-5,IF(AB254="","Еще рано","Уже не актуально"),IF(AB254&gt;TODAY()-2,"Еще рано","Пора отправлять"))</f>
        <v>Еще рано</v>
      </c>
      <c r="AD254" s="313"/>
      <c r="AG254" s="237"/>
      <c r="AH254" s="236"/>
      <c r="AK254" s="255"/>
      <c r="AL254" s="231"/>
    </row>
    <row r="255" spans="1:38" ht="57">
      <c r="A255" s="356" t="s">
        <v>576</v>
      </c>
      <c r="B255" s="356" t="s">
        <v>681</v>
      </c>
      <c r="C255" s="356" t="s">
        <v>734</v>
      </c>
      <c r="D255" s="357" t="s">
        <v>684</v>
      </c>
      <c r="E255" s="356" t="s">
        <v>639</v>
      </c>
      <c r="F255" s="356"/>
      <c r="G255" s="356" t="s">
        <v>433</v>
      </c>
      <c r="H255" s="356" t="s">
        <v>29</v>
      </c>
      <c r="I255" s="356"/>
      <c r="J255" s="356"/>
      <c r="K255" s="356" t="s">
        <v>754</v>
      </c>
      <c r="L255" s="427">
        <v>43663</v>
      </c>
      <c r="M255" s="372">
        <v>43730</v>
      </c>
      <c r="N255" s="376">
        <v>43705</v>
      </c>
      <c r="O255" s="423">
        <v>40</v>
      </c>
      <c r="P255" s="376">
        <f t="shared" ref="P255:P260" si="49">M255-O255</f>
        <v>43690</v>
      </c>
      <c r="Q255" s="374" t="str">
        <f t="shared" ca="1" si="47"/>
        <v>Уже не актуально</v>
      </c>
      <c r="R255" s="376" t="s">
        <v>111</v>
      </c>
      <c r="S255" s="376"/>
      <c r="T255" s="376"/>
      <c r="U255" s="376">
        <f>M255+15</f>
        <v>43745</v>
      </c>
      <c r="V255" s="374" t="s">
        <v>781</v>
      </c>
      <c r="W255" s="376">
        <v>43745</v>
      </c>
      <c r="X255" s="376">
        <v>43748</v>
      </c>
      <c r="Y255" s="376">
        <v>43749</v>
      </c>
      <c r="Z255" s="376"/>
      <c r="AA255" s="376"/>
      <c r="AB255" s="385">
        <v>43780</v>
      </c>
      <c r="AC255" s="250" t="str">
        <f t="shared" ca="1" si="48"/>
        <v>Уже не актуально</v>
      </c>
      <c r="AD255" s="251">
        <f t="shared" si="46"/>
        <v>50</v>
      </c>
      <c r="AG255" s="237"/>
      <c r="AH255" s="236"/>
      <c r="AK255" s="346" t="s">
        <v>579</v>
      </c>
      <c r="AL255" s="40"/>
    </row>
    <row r="256" spans="1:38" ht="57">
      <c r="A256" s="354" t="s">
        <v>732</v>
      </c>
      <c r="B256" s="354" t="s">
        <v>802</v>
      </c>
      <c r="C256" s="354" t="s">
        <v>755</v>
      </c>
      <c r="D256" s="354" t="s">
        <v>694</v>
      </c>
      <c r="E256" s="354" t="s">
        <v>639</v>
      </c>
      <c r="F256" s="354"/>
      <c r="G256" s="355" t="s">
        <v>433</v>
      </c>
      <c r="H256" s="355" t="s">
        <v>29</v>
      </c>
      <c r="I256" s="354"/>
      <c r="J256" s="354"/>
      <c r="K256" s="354"/>
      <c r="L256" s="426">
        <v>43686</v>
      </c>
      <c r="M256" s="372">
        <v>43748</v>
      </c>
      <c r="N256" s="376">
        <v>43704</v>
      </c>
      <c r="O256" s="423">
        <v>25</v>
      </c>
      <c r="P256" s="376">
        <f t="shared" si="49"/>
        <v>43723</v>
      </c>
      <c r="Q256" s="374" t="str">
        <f t="shared" ca="1" si="47"/>
        <v>Уже не актуально</v>
      </c>
      <c r="R256" s="376" t="s">
        <v>111</v>
      </c>
      <c r="S256" s="376"/>
      <c r="T256" s="376"/>
      <c r="U256" s="376">
        <f t="shared" si="45"/>
        <v>43748</v>
      </c>
      <c r="V256" s="374" t="s">
        <v>781</v>
      </c>
      <c r="W256" s="376">
        <v>43748</v>
      </c>
      <c r="X256" s="376">
        <v>43751</v>
      </c>
      <c r="Y256" s="376" t="s">
        <v>782</v>
      </c>
      <c r="Z256" s="376"/>
      <c r="AA256" s="376"/>
      <c r="AB256" s="376">
        <v>43754</v>
      </c>
      <c r="AC256" s="250" t="str">
        <f t="shared" ca="1" si="48"/>
        <v>Уже не актуально</v>
      </c>
      <c r="AD256" s="313">
        <f t="shared" ref="AD256:AD264" si="50">AB256-M256</f>
        <v>6</v>
      </c>
      <c r="AG256" s="237"/>
      <c r="AH256" s="236"/>
      <c r="AK256" s="255" t="s">
        <v>774</v>
      </c>
      <c r="AL256" s="40"/>
    </row>
    <row r="257" spans="1:38" ht="57">
      <c r="A257" s="354" t="s">
        <v>732</v>
      </c>
      <c r="B257" s="354" t="s">
        <v>802</v>
      </c>
      <c r="C257" s="354" t="s">
        <v>755</v>
      </c>
      <c r="D257" s="354" t="s">
        <v>694</v>
      </c>
      <c r="E257" s="354" t="s">
        <v>777</v>
      </c>
      <c r="F257" s="354" t="s">
        <v>157</v>
      </c>
      <c r="G257" s="355" t="s">
        <v>433</v>
      </c>
      <c r="H257" s="355" t="s">
        <v>30</v>
      </c>
      <c r="I257" s="354"/>
      <c r="J257" s="354"/>
      <c r="K257" s="354"/>
      <c r="L257" s="426">
        <v>43733</v>
      </c>
      <c r="M257" s="372">
        <v>43768</v>
      </c>
      <c r="N257" s="376"/>
      <c r="O257" s="423">
        <v>25</v>
      </c>
      <c r="P257" s="376">
        <f t="shared" si="49"/>
        <v>43743</v>
      </c>
      <c r="Q257" s="374" t="str">
        <f ca="1">IF(P257&gt;=TODAY()-5,IF(P257&lt;TODAY()+6,"Пора отправлять","Еще рано"),"Уже не актуально")</f>
        <v>Уже не актуально</v>
      </c>
      <c r="R257" s="376"/>
      <c r="S257" s="376"/>
      <c r="T257" s="376"/>
      <c r="U257" s="376">
        <v>43772</v>
      </c>
      <c r="V257" s="397" t="s">
        <v>803</v>
      </c>
      <c r="W257" s="376">
        <v>43774</v>
      </c>
      <c r="X257" s="376">
        <v>43777</v>
      </c>
      <c r="Y257" s="376">
        <v>43779</v>
      </c>
      <c r="Z257" s="376"/>
      <c r="AA257" s="376"/>
      <c r="AB257" s="376">
        <v>43784</v>
      </c>
      <c r="AC257" s="250" t="str">
        <f ca="1">IF(AB257&lt;TODAY()-5,IF(AB257="","Еще рано","Уже не актуально"),IF(AB257&gt;TODAY()-2,"Еще рано","Пора отправлять"))</f>
        <v>Уже не актуально</v>
      </c>
      <c r="AD257" s="313">
        <f t="shared" si="50"/>
        <v>16</v>
      </c>
      <c r="AG257" s="237"/>
      <c r="AH257" s="236"/>
      <c r="AK257" s="255" t="s">
        <v>774</v>
      </c>
      <c r="AL257" s="226"/>
    </row>
    <row r="258" spans="1:38" ht="57">
      <c r="A258" s="354" t="s">
        <v>732</v>
      </c>
      <c r="B258" s="354" t="s">
        <v>802</v>
      </c>
      <c r="C258" s="354" t="s">
        <v>755</v>
      </c>
      <c r="D258" s="354" t="s">
        <v>694</v>
      </c>
      <c r="E258" s="354" t="s">
        <v>777</v>
      </c>
      <c r="F258" s="354" t="s">
        <v>157</v>
      </c>
      <c r="G258" s="355" t="s">
        <v>433</v>
      </c>
      <c r="H258" s="355" t="s">
        <v>87</v>
      </c>
      <c r="I258" s="354"/>
      <c r="J258" s="354"/>
      <c r="K258" s="354"/>
      <c r="L258" s="426">
        <v>43790</v>
      </c>
      <c r="M258" s="372">
        <v>43824</v>
      </c>
      <c r="N258" s="376"/>
      <c r="O258" s="423">
        <v>26</v>
      </c>
      <c r="P258" s="376">
        <f t="shared" si="49"/>
        <v>43798</v>
      </c>
      <c r="Q258" s="374" t="str">
        <f ca="1">IF(P258&gt;=TODAY()-5,IF(P258&lt;TODAY()+6,"Пора отправлять","Еще рано"),"Уже не актуально")</f>
        <v>Уже не актуально</v>
      </c>
      <c r="R258" s="376"/>
      <c r="S258" s="376"/>
      <c r="T258" s="376"/>
      <c r="U258" s="376">
        <f>M258</f>
        <v>43824</v>
      </c>
      <c r="V258" s="397" t="s">
        <v>850</v>
      </c>
      <c r="W258" s="376">
        <v>43824</v>
      </c>
      <c r="X258" s="376" t="s">
        <v>780</v>
      </c>
      <c r="Y258" s="376" t="s">
        <v>111</v>
      </c>
      <c r="Z258" s="376"/>
      <c r="AA258" s="376"/>
      <c r="AB258" s="405" t="s">
        <v>856</v>
      </c>
      <c r="AC258" s="250" t="str">
        <f ca="1">IF(AB258&lt;TODAY()-5,IF(AB258="","Еще рано","Уже не актуально"),IF(AB258&gt;TODAY()-2,"Еще рано","Пора отправлять"))</f>
        <v>Еще рано</v>
      </c>
      <c r="AD258" s="313" t="e">
        <f t="shared" si="50"/>
        <v>#VALUE!</v>
      </c>
      <c r="AG258" s="237"/>
      <c r="AH258" s="236"/>
      <c r="AK258" s="255" t="s">
        <v>774</v>
      </c>
      <c r="AL258" s="229"/>
    </row>
    <row r="259" spans="1:38" ht="57">
      <c r="A259" s="354" t="s">
        <v>732</v>
      </c>
      <c r="B259" s="354" t="s">
        <v>802</v>
      </c>
      <c r="C259" s="354" t="s">
        <v>755</v>
      </c>
      <c r="D259" s="354" t="s">
        <v>694</v>
      </c>
      <c r="E259" s="354" t="s">
        <v>777</v>
      </c>
      <c r="F259" s="354" t="s">
        <v>157</v>
      </c>
      <c r="G259" s="355" t="s">
        <v>433</v>
      </c>
      <c r="H259" s="355" t="s">
        <v>88</v>
      </c>
      <c r="I259" s="354"/>
      <c r="J259" s="354"/>
      <c r="K259" s="354"/>
      <c r="L259" s="426">
        <v>43812</v>
      </c>
      <c r="M259" s="372">
        <v>43845</v>
      </c>
      <c r="N259" s="376"/>
      <c r="O259" s="423">
        <v>27</v>
      </c>
      <c r="P259" s="376">
        <f t="shared" si="49"/>
        <v>43818</v>
      </c>
      <c r="Q259" s="374" t="str">
        <f ca="1">IF(P259&gt;=TODAY()-5,IF(P259&lt;TODAY()+6,"Пора отправлять","Еще рано"),"Уже не актуально")</f>
        <v>Уже не актуально</v>
      </c>
      <c r="R259" s="376"/>
      <c r="S259" s="376"/>
      <c r="T259" s="376"/>
      <c r="U259" s="376">
        <f>M259</f>
        <v>43845</v>
      </c>
      <c r="V259" s="374" t="s">
        <v>860</v>
      </c>
      <c r="W259" s="376">
        <v>43845</v>
      </c>
      <c r="X259" s="376" t="s">
        <v>780</v>
      </c>
      <c r="Y259" s="376"/>
      <c r="Z259" s="376"/>
      <c r="AA259" s="376"/>
      <c r="AB259" s="376"/>
      <c r="AC259" s="250" t="str">
        <f ca="1">IF(AB259&lt;TODAY()-5,IF(AB259="","Еще рано","Уже не актуально"),IF(AB259&gt;TODAY()-2,"Еще рано","Пора отправлять"))</f>
        <v>Еще рано</v>
      </c>
      <c r="AD259" s="313">
        <f t="shared" si="50"/>
        <v>-43845</v>
      </c>
      <c r="AG259" s="237"/>
      <c r="AH259" s="236"/>
      <c r="AK259" s="255" t="s">
        <v>774</v>
      </c>
      <c r="AL259" s="229"/>
    </row>
    <row r="260" spans="1:38" ht="42.75">
      <c r="A260" s="356" t="s">
        <v>576</v>
      </c>
      <c r="B260" s="356" t="s">
        <v>682</v>
      </c>
      <c r="C260" s="356" t="s">
        <v>763</v>
      </c>
      <c r="D260" s="357" t="s">
        <v>683</v>
      </c>
      <c r="E260" s="356" t="s">
        <v>639</v>
      </c>
      <c r="F260" s="356"/>
      <c r="G260" s="356" t="s">
        <v>433</v>
      </c>
      <c r="H260" s="356" t="s">
        <v>29</v>
      </c>
      <c r="I260" s="356"/>
      <c r="J260" s="356"/>
      <c r="K260" s="356" t="s">
        <v>866</v>
      </c>
      <c r="L260" s="427">
        <v>43714</v>
      </c>
      <c r="M260" s="372">
        <v>43753</v>
      </c>
      <c r="N260" s="396">
        <v>43810</v>
      </c>
      <c r="O260" s="423">
        <v>25</v>
      </c>
      <c r="P260" s="376">
        <f t="shared" si="49"/>
        <v>43728</v>
      </c>
      <c r="Q260" s="374" t="str">
        <f t="shared" ca="1" si="47"/>
        <v>Уже не актуально</v>
      </c>
      <c r="R260" s="376"/>
      <c r="S260" s="376"/>
      <c r="T260" s="376"/>
      <c r="U260" s="376">
        <f>M260+45+15+9+17</f>
        <v>43839</v>
      </c>
      <c r="V260" s="374" t="s">
        <v>784</v>
      </c>
      <c r="W260" s="376">
        <v>43840</v>
      </c>
      <c r="X260" s="376">
        <v>43843</v>
      </c>
      <c r="Y260" s="376"/>
      <c r="Z260" s="376"/>
      <c r="AA260" s="376"/>
      <c r="AB260" s="376" t="s">
        <v>864</v>
      </c>
      <c r="AC260" s="250" t="str">
        <f t="shared" ca="1" si="48"/>
        <v>Еще рано</v>
      </c>
      <c r="AD260" s="251" t="e">
        <f t="shared" si="50"/>
        <v>#VALUE!</v>
      </c>
      <c r="AE260" s="234" t="s">
        <v>847</v>
      </c>
      <c r="AF260" s="339" t="s">
        <v>837</v>
      </c>
      <c r="AG260" s="339" t="s">
        <v>838</v>
      </c>
      <c r="AH260" s="236"/>
      <c r="AK260" s="346" t="s">
        <v>579</v>
      </c>
      <c r="AL260" s="40"/>
    </row>
    <row r="261" spans="1:38" ht="42.75">
      <c r="A261" s="356" t="s">
        <v>576</v>
      </c>
      <c r="B261" s="356" t="s">
        <v>682</v>
      </c>
      <c r="C261" s="356" t="s">
        <v>763</v>
      </c>
      <c r="D261" s="357" t="s">
        <v>683</v>
      </c>
      <c r="E261" s="356" t="s">
        <v>876</v>
      </c>
      <c r="F261" s="356"/>
      <c r="G261" s="356" t="s">
        <v>433</v>
      </c>
      <c r="H261" s="356" t="s">
        <v>30</v>
      </c>
      <c r="I261" s="356"/>
      <c r="J261" s="356"/>
      <c r="K261" s="356"/>
      <c r="L261" s="427"/>
      <c r="M261" s="372"/>
      <c r="N261" s="396"/>
      <c r="O261" s="423"/>
      <c r="P261" s="376"/>
      <c r="Q261" s="374"/>
      <c r="R261" s="376"/>
      <c r="S261" s="376"/>
      <c r="T261" s="376"/>
      <c r="U261" s="376"/>
      <c r="V261" s="374"/>
      <c r="W261" s="376"/>
      <c r="X261" s="376"/>
      <c r="Y261" s="376"/>
      <c r="Z261" s="376"/>
      <c r="AA261" s="376"/>
      <c r="AB261" s="376"/>
      <c r="AC261" s="250" t="str">
        <f ca="1">IF(AB261&lt;TODAY()-5,IF(AB261="","Еще рано","Уже не актуально"),IF(AB261&gt;TODAY()-2,"Еще рано","Пора отправлять"))</f>
        <v>Еще рано</v>
      </c>
      <c r="AD261" s="251"/>
      <c r="AE261" s="234"/>
      <c r="AF261" s="339"/>
      <c r="AG261" s="339"/>
      <c r="AH261" s="236"/>
      <c r="AK261" s="346" t="s">
        <v>579</v>
      </c>
      <c r="AL261" s="231"/>
    </row>
    <row r="262" spans="1:38" ht="42.75">
      <c r="A262" s="356" t="s">
        <v>576</v>
      </c>
      <c r="B262" s="356" t="s">
        <v>682</v>
      </c>
      <c r="C262" s="356" t="s">
        <v>763</v>
      </c>
      <c r="D262" s="357" t="s">
        <v>683</v>
      </c>
      <c r="E262" s="356" t="s">
        <v>877</v>
      </c>
      <c r="F262" s="356"/>
      <c r="G262" s="356" t="s">
        <v>433</v>
      </c>
      <c r="H262" s="356" t="s">
        <v>87</v>
      </c>
      <c r="I262" s="356"/>
      <c r="J262" s="356"/>
      <c r="K262" s="356"/>
      <c r="L262" s="427"/>
      <c r="M262" s="372"/>
      <c r="N262" s="396"/>
      <c r="O262" s="423"/>
      <c r="P262" s="376"/>
      <c r="Q262" s="374"/>
      <c r="R262" s="376"/>
      <c r="S262" s="376"/>
      <c r="T262" s="376"/>
      <c r="U262" s="376"/>
      <c r="V262" s="374"/>
      <c r="W262" s="376"/>
      <c r="X262" s="376"/>
      <c r="Y262" s="376"/>
      <c r="Z262" s="376"/>
      <c r="AA262" s="376"/>
      <c r="AB262" s="376"/>
      <c r="AC262" s="250" t="str">
        <f ca="1">IF(AB262&lt;TODAY()-5,IF(AB262="","Еще рано","Уже не актуально"),IF(AB262&gt;TODAY()-2,"Еще рано","Пора отправлять"))</f>
        <v>Еще рано</v>
      </c>
      <c r="AD262" s="251"/>
      <c r="AE262" s="234"/>
      <c r="AF262" s="339"/>
      <c r="AG262" s="339"/>
      <c r="AH262" s="236"/>
      <c r="AK262" s="346" t="s">
        <v>579</v>
      </c>
      <c r="AL262" s="231"/>
    </row>
    <row r="263" spans="1:38" ht="57">
      <c r="A263" s="349" t="s">
        <v>732</v>
      </c>
      <c r="B263" s="272" t="s">
        <v>768</v>
      </c>
      <c r="C263" s="272" t="s">
        <v>772</v>
      </c>
      <c r="D263" s="358" t="s">
        <v>769</v>
      </c>
      <c r="E263" s="272" t="s">
        <v>773</v>
      </c>
      <c r="F263" s="272"/>
      <c r="G263" s="349" t="s">
        <v>433</v>
      </c>
      <c r="H263" s="272" t="s">
        <v>29</v>
      </c>
      <c r="I263" s="272"/>
      <c r="J263" s="272"/>
      <c r="K263" s="272"/>
      <c r="L263" s="423">
        <v>43726</v>
      </c>
      <c r="M263" s="372">
        <v>43760</v>
      </c>
      <c r="N263" s="396">
        <v>43779</v>
      </c>
      <c r="O263" s="423">
        <v>25</v>
      </c>
      <c r="P263" s="376"/>
      <c r="Q263" s="374" t="str">
        <f t="shared" ca="1" si="47"/>
        <v>Уже не актуально</v>
      </c>
      <c r="R263" s="376"/>
      <c r="S263" s="376"/>
      <c r="T263" s="376"/>
      <c r="U263" s="376">
        <f>N263+35+8</f>
        <v>43822</v>
      </c>
      <c r="V263" s="374" t="s">
        <v>850</v>
      </c>
      <c r="W263" s="376"/>
      <c r="X263" s="488" t="s">
        <v>865</v>
      </c>
      <c r="Y263" s="376"/>
      <c r="Z263" s="376"/>
      <c r="AA263" s="376"/>
      <c r="AB263" s="376" t="s">
        <v>897</v>
      </c>
      <c r="AC263" s="250" t="str">
        <f t="shared" ca="1" si="48"/>
        <v>Еще рано</v>
      </c>
      <c r="AD263" s="251" t="e">
        <f t="shared" si="50"/>
        <v>#VALUE!</v>
      </c>
      <c r="AE263" s="234" t="s">
        <v>845</v>
      </c>
      <c r="AF263" s="255" t="s">
        <v>846</v>
      </c>
      <c r="AG263" s="237"/>
      <c r="AH263" s="236"/>
      <c r="AK263" s="255" t="s">
        <v>774</v>
      </c>
      <c r="AL263" s="40"/>
    </row>
    <row r="264" spans="1:38" ht="57">
      <c r="A264" s="349" t="s">
        <v>732</v>
      </c>
      <c r="B264" s="272" t="s">
        <v>768</v>
      </c>
      <c r="C264" s="272" t="s">
        <v>772</v>
      </c>
      <c r="D264" s="358" t="s">
        <v>769</v>
      </c>
      <c r="E264" s="272" t="s">
        <v>773</v>
      </c>
      <c r="F264" s="272"/>
      <c r="G264" s="349" t="s">
        <v>433</v>
      </c>
      <c r="H264" s="272" t="s">
        <v>30</v>
      </c>
      <c r="I264" s="272"/>
      <c r="J264" s="272"/>
      <c r="K264" s="272"/>
      <c r="L264" s="423">
        <v>43795</v>
      </c>
      <c r="M264" s="372">
        <v>43832</v>
      </c>
      <c r="N264" s="396">
        <v>43779</v>
      </c>
      <c r="O264" s="423">
        <v>26</v>
      </c>
      <c r="P264" s="376"/>
      <c r="Q264" s="374" t="str">
        <f ca="1">IF(P264&gt;=TODAY()-5,IF(P264&lt;TODAY()+6,"Пора отправлять","Еще рано"),"Уже не актуально")</f>
        <v>Уже не актуально</v>
      </c>
      <c r="R264" s="376"/>
      <c r="S264" s="376"/>
      <c r="T264" s="376"/>
      <c r="U264" s="376">
        <f>M264+7+30+60+20</f>
        <v>43949</v>
      </c>
      <c r="V264" s="374" t="str">
        <f ca="1">IF(U264&gt;TODAY(),IF(U264&lt;TODAY()+17,"Пора отправлять","Еще рано"),"Уже не актуально")</f>
        <v>Еще рано</v>
      </c>
      <c r="W264" s="376"/>
      <c r="X264" s="376" t="str">
        <f ca="1">IF(U264&lt;=TODAY()+9,"Пора","Рано")</f>
        <v>Рано</v>
      </c>
      <c r="Y264" s="376"/>
      <c r="Z264" s="376"/>
      <c r="AA264" s="376"/>
      <c r="AB264" s="376"/>
      <c r="AC264" s="250" t="str">
        <f ca="1">IF(AB264&lt;TODAY()-5,IF(AB264="","Еще рано","Уже не актуально"),IF(AB264&gt;TODAY()-2,"Еще рано","Пора отправлять"))</f>
        <v>Еще рано</v>
      </c>
      <c r="AD264" s="251">
        <f t="shared" si="50"/>
        <v>-43832</v>
      </c>
      <c r="AG264" s="237"/>
      <c r="AH264" s="236"/>
      <c r="AK264" s="255" t="s">
        <v>774</v>
      </c>
      <c r="AL264" s="229"/>
    </row>
    <row r="265" spans="1:38" ht="28.5">
      <c r="A265" s="308" t="s">
        <v>83</v>
      </c>
      <c r="B265" s="267" t="s">
        <v>888</v>
      </c>
      <c r="C265" s="267" t="s">
        <v>889</v>
      </c>
      <c r="D265" s="475" t="s">
        <v>799</v>
      </c>
      <c r="E265" s="267" t="s">
        <v>890</v>
      </c>
      <c r="F265" s="267"/>
      <c r="G265" s="349" t="s">
        <v>433</v>
      </c>
      <c r="H265" s="272" t="s">
        <v>891</v>
      </c>
      <c r="I265" s="267"/>
      <c r="J265" s="267"/>
      <c r="K265" s="267"/>
      <c r="L265" s="423"/>
      <c r="M265" s="372"/>
      <c r="N265" s="376"/>
      <c r="O265" s="423"/>
      <c r="P265" s="376"/>
      <c r="Q265" s="429"/>
      <c r="R265" s="376"/>
      <c r="S265" s="376"/>
      <c r="T265" s="376"/>
      <c r="U265" s="376"/>
      <c r="V265" s="430"/>
      <c r="W265" s="376"/>
      <c r="X265" s="376"/>
      <c r="Y265" s="376"/>
      <c r="Z265" s="376"/>
      <c r="AA265" s="376"/>
      <c r="AB265" s="376"/>
      <c r="AC265" s="250" t="str">
        <f ca="1">IF(AB265&lt;TODAY()-5,IF(AB265="","Еще рано","Уже не актуально"),IF(AB265&gt;TODAY()-2,"Еще рано","Пора отправлять"))</f>
        <v>Еще рано</v>
      </c>
      <c r="AG265" s="347"/>
      <c r="AK265" s="255" t="s">
        <v>318</v>
      </c>
      <c r="AL265" s="40"/>
    </row>
    <row r="266" spans="1:38" ht="49.5">
      <c r="A266" s="349" t="s">
        <v>732</v>
      </c>
      <c r="B266" s="267" t="s">
        <v>898</v>
      </c>
      <c r="C266" s="267" t="s">
        <v>899</v>
      </c>
      <c r="D266" s="476" t="s">
        <v>818</v>
      </c>
      <c r="E266" s="267"/>
      <c r="F266" s="267"/>
      <c r="G266" s="349" t="s">
        <v>433</v>
      </c>
      <c r="H266" s="272" t="s">
        <v>891</v>
      </c>
      <c r="I266" s="267"/>
      <c r="J266" s="267"/>
      <c r="K266" s="267"/>
      <c r="L266" s="423"/>
      <c r="M266" s="372"/>
      <c r="N266" s="376"/>
      <c r="O266" s="423"/>
      <c r="P266" s="376"/>
      <c r="Q266" s="429"/>
      <c r="R266" s="376"/>
      <c r="S266" s="376"/>
      <c r="T266" s="376"/>
      <c r="U266" s="376"/>
      <c r="V266" s="430"/>
      <c r="W266" s="376"/>
      <c r="X266" s="376"/>
      <c r="Y266" s="376"/>
      <c r="Z266" s="376"/>
      <c r="AA266" s="376"/>
      <c r="AB266" s="376"/>
      <c r="AC266" s="250" t="str">
        <f ca="1">IF(AB266&lt;TODAY()-5,IF(AB266="","Еще рано","Уже не актуально"),IF(AB266&gt;TODAY()-2,"Еще рано","Пора отправлять"))</f>
        <v>Еще рано</v>
      </c>
      <c r="AG266" s="347"/>
      <c r="AK266" s="255" t="s">
        <v>774</v>
      </c>
      <c r="AL266" s="40"/>
    </row>
    <row r="267" spans="1:38" ht="66">
      <c r="A267" s="349" t="s">
        <v>732</v>
      </c>
      <c r="B267" s="267" t="s">
        <v>901</v>
      </c>
      <c r="C267" s="267" t="s">
        <v>900</v>
      </c>
      <c r="D267" s="476" t="s">
        <v>871</v>
      </c>
      <c r="E267" s="267"/>
      <c r="F267" s="267"/>
      <c r="G267" s="349" t="s">
        <v>433</v>
      </c>
      <c r="H267" s="272" t="s">
        <v>891</v>
      </c>
      <c r="I267" s="267"/>
      <c r="J267" s="267"/>
      <c r="K267" s="267"/>
      <c r="L267" s="423"/>
      <c r="M267" s="372"/>
      <c r="N267" s="376"/>
      <c r="O267" s="423"/>
      <c r="P267" s="376"/>
      <c r="Q267" s="429"/>
      <c r="R267" s="376"/>
      <c r="S267" s="376"/>
      <c r="T267" s="376"/>
      <c r="U267" s="376"/>
      <c r="V267" s="430"/>
      <c r="W267" s="376"/>
      <c r="X267" s="376"/>
      <c r="Y267" s="376"/>
      <c r="Z267" s="376"/>
      <c r="AA267" s="376"/>
      <c r="AB267" s="376"/>
      <c r="AC267" s="250" t="str">
        <f ca="1">IF(AB267&lt;TODAY()-5,IF(AB267="","Еще рано","Уже не актуально"),IF(AB267&gt;TODAY()-2,"Еще рано","Пора отправлять"))</f>
        <v>Еще рано</v>
      </c>
      <c r="AG267" s="347"/>
      <c r="AK267" s="255" t="s">
        <v>774</v>
      </c>
      <c r="AL267" s="40"/>
    </row>
    <row r="268" spans="1:38">
      <c r="Q268" s="428"/>
      <c r="AG268" s="347"/>
      <c r="AK268" s="234"/>
      <c r="AL268" s="40"/>
    </row>
    <row r="269" spans="1:38">
      <c r="Q269" s="428"/>
      <c r="AK269" s="234"/>
      <c r="AL269" s="40"/>
    </row>
    <row r="270" spans="1:38">
      <c r="Q270" s="428"/>
      <c r="AK270" s="234"/>
      <c r="AL270" s="40"/>
    </row>
    <row r="271" spans="1:38">
      <c r="Q271" s="428"/>
      <c r="AK271" s="234"/>
      <c r="AL271" s="40"/>
    </row>
    <row r="272" spans="1:38">
      <c r="Q272" s="428"/>
      <c r="AK272" s="234"/>
      <c r="AL272" s="40"/>
    </row>
    <row r="273" spans="17:49">
      <c r="Q273" s="428"/>
      <c r="AK273" s="234"/>
      <c r="AL273" s="40"/>
    </row>
    <row r="274" spans="17:49">
      <c r="Q274" s="428"/>
      <c r="AK274" s="234"/>
      <c r="AL274" s="40"/>
    </row>
    <row r="275" spans="17:49">
      <c r="Q275" s="428"/>
      <c r="AK275" s="234"/>
      <c r="AL275" s="40"/>
    </row>
    <row r="276" spans="17:49">
      <c r="AK276" s="234"/>
      <c r="AL276" s="40"/>
    </row>
    <row r="277" spans="17:49">
      <c r="AK277" s="234"/>
      <c r="AL277" s="40"/>
    </row>
    <row r="278" spans="17:49">
      <c r="AK278" s="234"/>
      <c r="AL278" s="40"/>
    </row>
    <row r="279" spans="17:49">
      <c r="AK279" s="234"/>
      <c r="AL279" s="40"/>
    </row>
    <row r="280" spans="17:49">
      <c r="AK280" s="234"/>
      <c r="AL280" s="40"/>
    </row>
    <row r="281" spans="17:49">
      <c r="AK281" s="234"/>
      <c r="AL281" s="40"/>
    </row>
    <row r="282" spans="17:49">
      <c r="AK282" s="234"/>
      <c r="AL282" s="40"/>
    </row>
    <row r="283" spans="17:49">
      <c r="AK283" s="234"/>
      <c r="AL283" s="40"/>
    </row>
    <row r="284" spans="17:49">
      <c r="AK284" s="234"/>
      <c r="AL284" s="40"/>
    </row>
    <row r="285" spans="17:49">
      <c r="AK285" s="234"/>
      <c r="AL285" s="40"/>
      <c r="AT285" s="2">
        <v>125</v>
      </c>
      <c r="AU285" s="2">
        <v>100</v>
      </c>
      <c r="AV285" s="2">
        <v>145</v>
      </c>
      <c r="AW285" s="2">
        <v>100</v>
      </c>
    </row>
    <row r="286" spans="17:49">
      <c r="AK286" s="234"/>
      <c r="AL286" s="40"/>
      <c r="AT286" s="2">
        <f t="shared" ref="AT286:AT291" si="51">$AT$285*AU286/$AU$285</f>
        <v>112.5</v>
      </c>
      <c r="AU286" s="2">
        <v>90</v>
      </c>
      <c r="AV286" s="2">
        <f t="shared" ref="AV286:AV291" si="52">$AV$285*AW286/$AU$285</f>
        <v>130.5</v>
      </c>
      <c r="AW286" s="2">
        <v>90</v>
      </c>
    </row>
    <row r="287" spans="17:49">
      <c r="AK287" s="234"/>
      <c r="AL287" s="40"/>
      <c r="AT287" s="2">
        <f t="shared" si="51"/>
        <v>100</v>
      </c>
      <c r="AU287" s="2">
        <v>80</v>
      </c>
      <c r="AV287" s="2">
        <f t="shared" si="52"/>
        <v>116</v>
      </c>
      <c r="AW287" s="2">
        <v>80</v>
      </c>
    </row>
    <row r="288" spans="17:49">
      <c r="AK288" s="234"/>
      <c r="AL288" s="40"/>
      <c r="AT288" s="2">
        <f t="shared" si="51"/>
        <v>87.5</v>
      </c>
      <c r="AU288" s="2">
        <v>70</v>
      </c>
      <c r="AV288" s="2">
        <f t="shared" si="52"/>
        <v>101.5</v>
      </c>
      <c r="AW288" s="2">
        <v>70</v>
      </c>
    </row>
    <row r="289" spans="37:49">
      <c r="AK289" s="234"/>
      <c r="AL289" s="40"/>
      <c r="AT289" s="2">
        <f t="shared" si="51"/>
        <v>75</v>
      </c>
      <c r="AU289" s="2">
        <v>60</v>
      </c>
      <c r="AV289" s="2">
        <f t="shared" si="52"/>
        <v>87</v>
      </c>
      <c r="AW289" s="2">
        <v>60</v>
      </c>
    </row>
    <row r="290" spans="37:49">
      <c r="AK290" s="234"/>
      <c r="AL290" s="40"/>
      <c r="AT290" s="2">
        <f t="shared" si="51"/>
        <v>62.5</v>
      </c>
      <c r="AU290" s="2">
        <v>50</v>
      </c>
      <c r="AV290" s="2">
        <f t="shared" si="52"/>
        <v>72.5</v>
      </c>
      <c r="AW290" s="2">
        <v>50</v>
      </c>
    </row>
    <row r="291" spans="37:49">
      <c r="AK291" s="234"/>
      <c r="AL291" s="40"/>
      <c r="AT291" s="2">
        <f t="shared" si="51"/>
        <v>50</v>
      </c>
      <c r="AU291" s="2">
        <v>40</v>
      </c>
      <c r="AV291" s="2">
        <f t="shared" si="52"/>
        <v>58</v>
      </c>
      <c r="AW291" s="2">
        <v>40</v>
      </c>
    </row>
    <row r="292" spans="37:49">
      <c r="AK292" s="234"/>
      <c r="AL292" s="40"/>
    </row>
    <row r="293" spans="37:49">
      <c r="AK293" s="234"/>
      <c r="AL293" s="40"/>
    </row>
    <row r="294" spans="37:49">
      <c r="AK294" s="234"/>
      <c r="AL294" s="40"/>
    </row>
    <row r="295" spans="37:49">
      <c r="AK295" s="234"/>
      <c r="AL295" s="40"/>
    </row>
    <row r="296" spans="37:49">
      <c r="AK296" s="234"/>
      <c r="AL296" s="40"/>
    </row>
    <row r="297" spans="37:49">
      <c r="AK297" s="234"/>
      <c r="AL297" s="40"/>
    </row>
    <row r="298" spans="37:49">
      <c r="AK298" s="234"/>
      <c r="AL298" s="40"/>
    </row>
    <row r="299" spans="37:49">
      <c r="AK299" s="234"/>
      <c r="AL299" s="40"/>
    </row>
    <row r="300" spans="37:49">
      <c r="AK300" s="234"/>
      <c r="AL300" s="40"/>
    </row>
    <row r="301" spans="37:49">
      <c r="AK301" s="234"/>
      <c r="AL301" s="40"/>
    </row>
    <row r="302" spans="37:49">
      <c r="AK302" s="234"/>
      <c r="AL302" s="40"/>
    </row>
    <row r="303" spans="37:49">
      <c r="AK303" s="234"/>
      <c r="AL303" s="40"/>
    </row>
    <row r="304" spans="37:49">
      <c r="AK304" s="234"/>
      <c r="AL304" s="40"/>
    </row>
    <row r="305" spans="37:38">
      <c r="AK305" s="234"/>
      <c r="AL305" s="40"/>
    </row>
    <row r="306" spans="37:38">
      <c r="AK306" s="234"/>
      <c r="AL306" s="40"/>
    </row>
    <row r="307" spans="37:38">
      <c r="AK307" s="234"/>
      <c r="AL307" s="40"/>
    </row>
    <row r="308" spans="37:38">
      <c r="AK308" s="234"/>
      <c r="AL308" s="40"/>
    </row>
    <row r="309" spans="37:38">
      <c r="AK309" s="234"/>
      <c r="AL309" s="40"/>
    </row>
    <row r="310" spans="37:38">
      <c r="AK310" s="234"/>
      <c r="AL310" s="40"/>
    </row>
    <row r="311" spans="37:38">
      <c r="AK311" s="234"/>
      <c r="AL311" s="40"/>
    </row>
    <row r="312" spans="37:38">
      <c r="AK312" s="234"/>
      <c r="AL312" s="40"/>
    </row>
    <row r="313" spans="37:38">
      <c r="AK313" s="234"/>
      <c r="AL313" s="40"/>
    </row>
    <row r="314" spans="37:38">
      <c r="AK314" s="234"/>
      <c r="AL314" s="40"/>
    </row>
    <row r="315" spans="37:38">
      <c r="AK315" s="234"/>
      <c r="AL315" s="40"/>
    </row>
    <row r="316" spans="37:38">
      <c r="AK316" s="234"/>
      <c r="AL316" s="40"/>
    </row>
    <row r="317" spans="37:38">
      <c r="AK317" s="234"/>
      <c r="AL317" s="40"/>
    </row>
    <row r="318" spans="37:38">
      <c r="AK318" s="234"/>
      <c r="AL318" s="40"/>
    </row>
    <row r="319" spans="37:38">
      <c r="AK319" s="234"/>
      <c r="AL319" s="40"/>
    </row>
    <row r="320" spans="37:38">
      <c r="AK320" s="234"/>
      <c r="AL320" s="40"/>
    </row>
    <row r="321" spans="37:38">
      <c r="AK321" s="234"/>
      <c r="AL321" s="40"/>
    </row>
    <row r="322" spans="37:38">
      <c r="AK322" s="234"/>
      <c r="AL322" s="40"/>
    </row>
    <row r="323" spans="37:38">
      <c r="AK323" s="234"/>
      <c r="AL323" s="40"/>
    </row>
    <row r="324" spans="37:38">
      <c r="AK324" s="234"/>
      <c r="AL324" s="40"/>
    </row>
    <row r="325" spans="37:38">
      <c r="AK325" s="234"/>
      <c r="AL325" s="40"/>
    </row>
    <row r="326" spans="37:38">
      <c r="AK326" s="234"/>
      <c r="AL326" s="40"/>
    </row>
    <row r="327" spans="37:38">
      <c r="AK327" s="234"/>
      <c r="AL327" s="40"/>
    </row>
  </sheetData>
  <autoFilter ref="A2:AJ255"/>
  <mergeCells count="3">
    <mergeCell ref="AE5:AF5"/>
    <mergeCell ref="S62:S63"/>
    <mergeCell ref="AB62:AB63"/>
  </mergeCells>
  <phoneticPr fontId="50" type="noConversion"/>
  <conditionalFormatting sqref="AG3:AG9">
    <cfRule type="cellIs" dxfId="348" priority="2744" operator="equal">
      <formula>"TODAY()"</formula>
    </cfRule>
  </conditionalFormatting>
  <conditionalFormatting sqref="AG2:AG9">
    <cfRule type="cellIs" dxfId="347" priority="2741" operator="equal">
      <formula>$AI$3</formula>
    </cfRule>
    <cfRule type="cellIs" dxfId="346" priority="2742" operator="equal">
      <formula>$AI$3</formula>
    </cfRule>
    <cfRule type="cellIs" dxfId="345" priority="2743" operator="equal">
      <formula>"TODAY"</formula>
    </cfRule>
  </conditionalFormatting>
  <conditionalFormatting sqref="W95 Y131:Y132 AB131:AB132 U163:U164 N90:N93 W21:W22 Y23:Y24 T141:U141 Y184 R141 Y171:Y173 Z170:AB171 AB172:AB175 Z172:Z175 Z139:AA139 R134:U140 AB137:AB141 AA165:AA175 Y134:Y143 Y159:AB159 R142:U152 R153:T158 L232:L245 T232:T245 W224 N232:N245 N97:N130 Q186:Q264 T186:T224 L186:L212 W186:W222 Z142:AB151 U154:U158 Z153:AB158 W131:W152 Q174:Q183 N167:N212 U171:U183 W232:W245 Y152:AB152 W171:W183 Z176:AB183 Y160:AA162 R159:U162 N137:O162 W154:W162">
    <cfRule type="cellIs" dxfId="344" priority="2721" operator="between">
      <formula>$AG$4</formula>
      <formula>$AI$4</formula>
    </cfRule>
  </conditionalFormatting>
  <conditionalFormatting sqref="O163:O183">
    <cfRule type="timePeriod" dxfId="343" priority="2704" timePeriod="today">
      <formula>FLOOR(O163,1)=TODAY()</formula>
    </cfRule>
  </conditionalFormatting>
  <conditionalFormatting sqref="D4 D10 D90:D92 D165 R163:U164 W163:AB164 AD163:AE164 A163:N164 C3:F3 Q94:Q121 S165:T170 D167:D180 D183:D184 Q166 AE98:AE99 AE134:AE136 R90:R91 AE171:AE180 AE183 Q92:R93 A3:A9 G166:G170 V3:V31 Z186:AA187 AK3:AK9 AK163:AK180 AK183 P123:Q142 AG14 AG20 AG26 AG32 AG38 AG90 AG99 AG105 AG131 AG137 AG164 AG170 AG186 D94:D121 D123:D131 P92:P121 E140 Q172:Q180 Z137:AA138 Z140:AA141 U110:U111 W110:W111 AB110:AB111 AA110:AA113 AK131:AK142 AG50:AG75 U56:U76 Z54:AA55 Z170:AB180 S141 S10:S49 AG201:AG208 D228:D231 AG196:AG198 V189:V192 A241:A244 AG241:AL245 AK197:AK198 Z143:AB143 AE143 AE228:AE231 Z110:Z115 S131 R171:U180 N142 AD194 S225:S227 S209:S211 S111:S113 X110:Y117 S232 S55:S57 S241:S245 G197 X56:X69 X197:Y197 Y58:Y59 Y61:Y63 G143:G151 G54:G70 G117:G121 G123:G130 A71:G75 V172:V177 H71:H76 W220:W222 X220:Y223 Y229 AK246:AK250 AK255 E255 W148:W150 A77:H83 X80 L80 E233:E240 AD204:AD210 W204:W210 R199 V144:V150 N243:N244 N198 N200 R256:U256 W256:W259 Y258:AA258 V93:V121 W171:W177 A93:F93 U80:V87 V55:V76 U77:V78 Y259:AB262 B260:C262 AD260:AK262 AD122:AK122 Z122:AB122 A122:V122 X71:X74 W70:AB70 AB121 W121:W122 X119:Y126 AD263:AD264 A263:A264 Q263:Q264 E252:F254 A256:P259 Q246:Q256 AD252 AD256:AD259 W76:Y76 AD248:AD250 R248:R250 AB242:AB244 Y242:Y244 AB199 Y72 Y74 X93:Y93 Y143:Y150 Y256:AB257 Y247 W246:W247 E260:W262 U178:W180 Q183:AB183 AE193:AK193 A193:V193 X193:Y193 X75:Y75 A181:N182 AD181:AL182 AL151:AL158 AK144:AK151 A152:K158 AD152:AK158 X77:Y78 X225:X231 AB76:AB77 AK84:AK87 AG77:AG87 X83 V194:AA194 X176:X180 Y171:Y180 X142:X150 AB193:AB194 AB246:AB247 AB255 E151 U154:Y158 F244 AD88:AK89 AD253:AK254 V151:Y153 U263:V264 X246:X251 X199:Y200 X215:Y217 Y235:Y240 X81:Y82 AB81 U79:Y79 Q257:V259 W81:W83 AB216 P181:AB182 X255:X264 W224:Y224 X203:X208 A266:A267 G263:G267 W252:Y254 A247:A250 G246:H255 E246:E251 V196:V231 Z220:AB224 Y204:AB210 U88:X89 V123:V142 X127:X130 G159:G162 V159:V162 X159:X162 AB160:AB162 X235:X244 V234:V256">
    <cfRule type="timePeriod" dxfId="342" priority="2693" timePeriod="today">
      <formula>FLOOR(A3,1)=TODAY()</formula>
    </cfRule>
  </conditionalFormatting>
  <conditionalFormatting sqref="N184 N232:N245 N186:N212 P3:P1179">
    <cfRule type="cellIs" dxfId="341" priority="2639" operator="between">
      <formula>TODAY()-3</formula>
      <formula>TODAY()+5</formula>
    </cfRule>
  </conditionalFormatting>
  <conditionalFormatting sqref="R90:R91 Q92:R93 V3:V31 Z214:Z217 Z219 X219 AB215 AB217 X214:Y216 Y217 AB220 X220:Z224 X229:Y229 Y205:Y208 R199 R226:R227 R229 Q122 R248:R250 Q246:Q264 Q193:R193 O193 Y193 V189:V194 X252 Y252:Y254 AB205 V55:V89 Q172:Q183 V172:V183 Y199:Y200 V196:V231 V93:V142 V144:V162 V234:V264">
    <cfRule type="containsText" dxfId="340" priority="2632" operator="containsText" text="Пора">
      <formula>NOT(ISERROR(SEARCH("Пора",O3)))</formula>
    </cfRule>
  </conditionalFormatting>
  <conditionalFormatting sqref="AA25:AA27 AB1:AB62 AB259:AB1048576 W121:W122 AB201:AB257 AB64:AB199">
    <cfRule type="cellIs" dxfId="339" priority="2628" operator="between">
      <formula>TODAY()-3</formula>
      <formula>TODAY()-5</formula>
    </cfRule>
  </conditionalFormatting>
  <conditionalFormatting sqref="AD1:AD1048576">
    <cfRule type="cellIs" dxfId="338" priority="2623" operator="greaterThan">
      <formula>15</formula>
    </cfRule>
  </conditionalFormatting>
  <conditionalFormatting sqref="AA184:AA185 AA131:AA136 AA1:AA53 Z162 N90:N93 AB25:AB27 AB134:AB136 AA162:AA173 AB101:AB102 Y91:Z91 AB32 AA114:AA121 Z137:AB159 Y142:Y143 L232:L245 Z118:Z121 Z122:AA130 W224 N232:N245 N97:N130 L186:L212 W186:W222 AA56:AA111 N167:N212 W232:W245 AA188:AA1048576 Z160:AA161 N137:N162">
    <cfRule type="containsText" dxfId="337" priority="2618" operator="containsText" text="когда">
      <formula>NOT(ISERROR(SEARCH("когда",L1)))</formula>
    </cfRule>
  </conditionalFormatting>
  <conditionalFormatting sqref="AA25:AA27 AB3:AB62 AB259:AB1048576 W121:W122 AB201:AB257 AB64:AB199">
    <cfRule type="cellIs" dxfId="336" priority="2626" operator="between">
      <formula>TODAY()-3</formula>
      <formula>"СЕГОНДНЯ()-5"</formula>
    </cfRule>
  </conditionalFormatting>
  <conditionalFormatting sqref="X103:Y104 X107:Y107 Y14 AB90:AB93 Y23:Y30 W184:W185 Y37:Y38 W141 Y46:Y47 Y49:Y50 X72:X74 T232:T245 Y58 Y61 Y229 X118:Y120 X80 X2:X70 X76 Y204:Y208 Y242:Y244 Y72 Y74 Y90:Y117 W246:W247 T186:T224 X75:Y75 Y134:Y151 X77:Y78 Y191:Y194 Y252:Y254 AB205 Y153:Y162 X83:X117 Y197:Y200 Y214:Y217 Y235:Y240 X81:Y82 W79:Y79 W81:W83 W153 Y167:Y184 Y220:Y224 Y121:Y130 X161:Y161 X121:X1133">
    <cfRule type="containsText" dxfId="335" priority="2561" operator="containsText" text="пора">
      <formula>NOT(ISERROR(SEARCH("пора",T2)))</formula>
    </cfRule>
    <cfRule type="containsText" dxfId="334" priority="2562" operator="containsText" text="назнач">
      <formula>NOT(ISERROR(SEARCH("назнач",T2)))</formula>
    </cfRule>
  </conditionalFormatting>
  <conditionalFormatting sqref="AC1:AC1048576">
    <cfRule type="containsText" dxfId="333" priority="79" operator="containsText" text="Пора">
      <formula>NOT(ISERROR(SEARCH("Пора",AC1)))</formula>
    </cfRule>
  </conditionalFormatting>
  <conditionalFormatting sqref="Y127">
    <cfRule type="timePeriod" dxfId="332" priority="1" timePeriod="today">
      <formula>FLOOR(Y127,1)=TODAY()</formula>
    </cfRule>
  </conditionalFormatting>
  <hyperlinks>
    <hyperlink ref="D10" r:id="rId1"/>
    <hyperlink ref="D11:D28" r:id="rId2" display="daisy@xxexx.cn"/>
    <hyperlink ref="D95" r:id="rId3"/>
    <hyperlink ref="D131" r:id="rId4"/>
    <hyperlink ref="D132:D137" r:id="rId5" display="sales@yaweitai.com"/>
    <hyperlink ref="D184" r:id="rId6"/>
    <hyperlink ref="D185" r:id="rId7"/>
    <hyperlink ref="D163:D164" r:id="rId8" display="sales@yaweitai.com"/>
    <hyperlink ref="D29" r:id="rId9"/>
    <hyperlink ref="D31" r:id="rId10"/>
    <hyperlink ref="D186" r:id="rId11"/>
    <hyperlink ref="D195" r:id="rId12"/>
    <hyperlink ref="D27" r:id="rId13"/>
    <hyperlink ref="D26" r:id="rId14"/>
    <hyperlink ref="D30" r:id="rId15"/>
    <hyperlink ref="D138" r:id="rId16"/>
    <hyperlink ref="D32" r:id="rId17"/>
    <hyperlink ref="D34" r:id="rId18"/>
    <hyperlink ref="D188" r:id="rId19"/>
    <hyperlink ref="D35" r:id="rId20"/>
    <hyperlink ref="D39" r:id="rId21"/>
    <hyperlink ref="D90" r:id="rId22"/>
    <hyperlink ref="D38" r:id="rId23"/>
    <hyperlink ref="D139" r:id="rId24"/>
    <hyperlink ref="D91" r:id="rId25"/>
    <hyperlink ref="D40" r:id="rId26"/>
    <hyperlink ref="D189" r:id="rId27"/>
    <hyperlink ref="D43" r:id="rId28"/>
    <hyperlink ref="AK103" r:id="rId29"/>
    <hyperlink ref="AK104" r:id="rId30"/>
    <hyperlink ref="AK105" r:id="rId31"/>
    <hyperlink ref="AK106" r:id="rId32"/>
    <hyperlink ref="AK90" r:id="rId33"/>
    <hyperlink ref="AK91" r:id="rId34"/>
    <hyperlink ref="AK102" r:id="rId35"/>
    <hyperlink ref="AK101" r:id="rId36"/>
    <hyperlink ref="AK100" r:id="rId37"/>
    <hyperlink ref="AK99" r:id="rId38"/>
    <hyperlink ref="AK98" r:id="rId39"/>
    <hyperlink ref="AK95:AK97" r:id="rId40" display="polivahin_a@s3.ru"/>
    <hyperlink ref="AK10:AK43" r:id="rId41" display="golubcov_a@s3.ru"/>
    <hyperlink ref="AK131:AK139" r:id="rId42" display="polivahin_a@s3.ru"/>
    <hyperlink ref="AK163:AK172" r:id="rId43" display="polivahin_a@s3.ru"/>
    <hyperlink ref="AK184" r:id="rId44"/>
    <hyperlink ref="D187" r:id="rId45"/>
    <hyperlink ref="D92" r:id="rId46"/>
    <hyperlink ref="AK92" r:id="rId47"/>
    <hyperlink ref="AK173" r:id="rId48"/>
    <hyperlink ref="D33" r:id="rId49"/>
    <hyperlink ref="AK33" r:id="rId50"/>
    <hyperlink ref="D36" r:id="rId51"/>
    <hyperlink ref="AK36" r:id="rId52"/>
    <hyperlink ref="D46" r:id="rId53"/>
    <hyperlink ref="AK46" r:id="rId54"/>
    <hyperlink ref="D49" r:id="rId55"/>
    <hyperlink ref="AK49" r:id="rId56"/>
    <hyperlink ref="D190" r:id="rId57"/>
    <hyperlink ref="D50" r:id="rId58"/>
    <hyperlink ref="D141" r:id="rId59"/>
    <hyperlink ref="D37" r:id="rId60"/>
    <hyperlink ref="AK37" r:id="rId61"/>
    <hyperlink ref="AF139" r:id="rId62"/>
    <hyperlink ref="AF138" r:id="rId63"/>
    <hyperlink ref="AF50" r:id="rId64"/>
    <hyperlink ref="AF49" r:id="rId65"/>
    <hyperlink ref="AF46" r:id="rId66"/>
    <hyperlink ref="AF40" r:id="rId67"/>
    <hyperlink ref="AF39" r:id="rId68"/>
    <hyperlink ref="AF37" r:id="rId69"/>
    <hyperlink ref="AF105" r:id="rId70"/>
    <hyperlink ref="AF107" r:id="rId71"/>
    <hyperlink ref="AF108" r:id="rId72"/>
    <hyperlink ref="AF109" r:id="rId73"/>
    <hyperlink ref="AK141" r:id="rId74"/>
    <hyperlink ref="D140" r:id="rId75"/>
    <hyperlink ref="AK140" r:id="rId76"/>
    <hyperlink ref="AF140" r:id="rId77"/>
    <hyperlink ref="AF38" r:id="rId78"/>
    <hyperlink ref="AF43" r:id="rId79"/>
    <hyperlink ref="AK50" r:id="rId80"/>
    <hyperlink ref="D51" r:id="rId81"/>
    <hyperlink ref="D52" r:id="rId82"/>
    <hyperlink ref="D53" r:id="rId83"/>
    <hyperlink ref="AK51" r:id="rId84"/>
    <hyperlink ref="AK52" r:id="rId85"/>
    <hyperlink ref="AK53" r:id="rId86"/>
    <hyperlink ref="AF51" r:id="rId87"/>
    <hyperlink ref="AF52" r:id="rId88"/>
    <hyperlink ref="AF53" r:id="rId89"/>
    <hyperlink ref="D94" r:id="rId90"/>
    <hyperlink ref="AK110" r:id="rId91"/>
    <hyperlink ref="AF110" r:id="rId92"/>
    <hyperlink ref="D111" r:id="rId93"/>
    <hyperlink ref="D112" r:id="rId94"/>
    <hyperlink ref="D113" r:id="rId95"/>
    <hyperlink ref="AK111" r:id="rId96"/>
    <hyperlink ref="AK112" r:id="rId97"/>
    <hyperlink ref="AK113" r:id="rId98"/>
    <hyperlink ref="AF112" r:id="rId99"/>
    <hyperlink ref="AF113" r:id="rId100"/>
    <hyperlink ref="AF111" r:id="rId101"/>
    <hyperlink ref="AF141" r:id="rId102"/>
    <hyperlink ref="D41" r:id="rId103"/>
    <hyperlink ref="AK41" r:id="rId104"/>
    <hyperlink ref="AF41" r:id="rId105"/>
    <hyperlink ref="D42" r:id="rId106"/>
    <hyperlink ref="AK42" r:id="rId107"/>
    <hyperlink ref="AF42" r:id="rId108"/>
    <hyperlink ref="D44" r:id="rId109"/>
    <hyperlink ref="AK44" r:id="rId110"/>
    <hyperlink ref="AF44" r:id="rId111"/>
    <hyperlink ref="AK213" r:id="rId112"/>
    <hyperlink ref="D114" r:id="rId113"/>
    <hyperlink ref="AK114" r:id="rId114"/>
    <hyperlink ref="AF114" r:id="rId115"/>
    <hyperlink ref="AK218" r:id="rId116"/>
    <hyperlink ref="D143" r:id="rId117"/>
    <hyperlink ref="AK143" r:id="rId118"/>
    <hyperlink ref="AK174" r:id="rId119"/>
    <hyperlink ref="D115" r:id="rId120"/>
    <hyperlink ref="D47" r:id="rId121"/>
    <hyperlink ref="D48" r:id="rId122"/>
    <hyperlink ref="AK47" r:id="rId123"/>
    <hyperlink ref="AK48" r:id="rId124"/>
    <hyperlink ref="AF47" r:id="rId125"/>
    <hyperlink ref="AF48" r:id="rId126"/>
    <hyperlink ref="D218" r:id="rId127"/>
    <hyperlink ref="D45" r:id="rId128"/>
    <hyperlink ref="AK45" r:id="rId129"/>
    <hyperlink ref="AF45" r:id="rId130"/>
    <hyperlink ref="AK175" r:id="rId131"/>
    <hyperlink ref="AK225" r:id="rId132"/>
    <hyperlink ref="D142" r:id="rId133"/>
    <hyperlink ref="AK142" r:id="rId134"/>
    <hyperlink ref="AF142" r:id="rId135"/>
    <hyperlink ref="AF143" r:id="rId136"/>
    <hyperlink ref="D54" r:id="rId137"/>
    <hyperlink ref="AK54" r:id="rId138"/>
    <hyperlink ref="AF54" r:id="rId139"/>
    <hyperlink ref="D56" r:id="rId140"/>
    <hyperlink ref="AK56" r:id="rId141"/>
    <hyperlink ref="AF56" r:id="rId142"/>
    <hyperlink ref="D211" r:id="rId143"/>
    <hyperlink ref="AK211" r:id="rId144"/>
    <hyperlink ref="AK214" r:id="rId145"/>
    <hyperlink ref="AK219" r:id="rId146"/>
    <hyperlink ref="D219" r:id="rId147"/>
    <hyperlink ref="AF115" r:id="rId148"/>
    <hyperlink ref="D144" r:id="rId149"/>
    <hyperlink ref="D159" r:id="rId150"/>
    <hyperlink ref="AK115" r:id="rId151"/>
    <hyperlink ref="AK144" r:id="rId152"/>
    <hyperlink ref="AK159" r:id="rId153"/>
    <hyperlink ref="D55" r:id="rId154"/>
    <hyperlink ref="AK55" r:id="rId155"/>
    <hyperlink ref="AF55" r:id="rId156"/>
    <hyperlink ref="D202" r:id="rId157"/>
    <hyperlink ref="D201" r:id="rId158"/>
    <hyperlink ref="D57" r:id="rId159"/>
    <hyperlink ref="D59" r:id="rId160"/>
    <hyperlink ref="D60" r:id="rId161"/>
    <hyperlink ref="AF58" r:id="rId162"/>
    <hyperlink ref="AF59" r:id="rId163"/>
    <hyperlink ref="AF60" r:id="rId164"/>
    <hyperlink ref="AK228" r:id="rId165"/>
    <hyperlink ref="AF228" r:id="rId166"/>
    <hyperlink ref="D228" r:id="rId167" display="mailto:vancol@vancol.cn"/>
    <hyperlink ref="D116" r:id="rId168"/>
    <hyperlink ref="D117" r:id="rId169"/>
    <hyperlink ref="D118" r:id="rId170"/>
    <hyperlink ref="AK116:AK118" r:id="rId171" display="polivahin_a@s3.ru"/>
    <hyperlink ref="D241" r:id="rId172"/>
    <hyperlink ref="AK241" r:id="rId173"/>
    <hyperlink ref="AK198" r:id="rId174"/>
    <hyperlink ref="AK58:AK64" r:id="rId175" display="golubcov_a@s3.ru"/>
    <hyperlink ref="D61" r:id="rId176"/>
    <hyperlink ref="D62" r:id="rId177"/>
    <hyperlink ref="D63" r:id="rId178"/>
    <hyperlink ref="D64" r:id="rId179"/>
    <hyperlink ref="AF144" r:id="rId180"/>
    <hyperlink ref="AF57" r:id="rId181"/>
    <hyperlink ref="AF61" r:id="rId182"/>
    <hyperlink ref="AF62" r:id="rId183"/>
    <hyperlink ref="AF63" r:id="rId184"/>
    <hyperlink ref="AF116" r:id="rId185"/>
    <hyperlink ref="AF117" r:id="rId186"/>
    <hyperlink ref="AF118" r:id="rId187"/>
    <hyperlink ref="AK245" r:id="rId188"/>
    <hyperlink ref="D212" r:id="rId189"/>
    <hyperlink ref="AK212" r:id="rId190"/>
    <hyperlink ref="AK215" r:id="rId191"/>
    <hyperlink ref="AK220" r:id="rId192"/>
    <hyperlink ref="D220" r:id="rId193"/>
    <hyperlink ref="D145" r:id="rId194"/>
    <hyperlink ref="AK145" r:id="rId195"/>
    <hyperlink ref="AF145" r:id="rId196"/>
    <hyperlink ref="AK176" r:id="rId197"/>
    <hyperlink ref="D65" r:id="rId198"/>
    <hyperlink ref="D66" r:id="rId199"/>
    <hyperlink ref="AK65" r:id="rId200"/>
    <hyperlink ref="AK66" r:id="rId201"/>
    <hyperlink ref="AF64" r:id="rId202"/>
    <hyperlink ref="AF65" r:id="rId203"/>
    <hyperlink ref="AF66" r:id="rId204"/>
    <hyperlink ref="AK197" r:id="rId205"/>
    <hyperlink ref="D119" r:id="rId206"/>
    <hyperlink ref="AK119" r:id="rId207"/>
    <hyperlink ref="AF119" r:id="rId208"/>
    <hyperlink ref="AK229" r:id="rId209"/>
    <hyperlink ref="D229" r:id="rId210" display="mailto:vancol@vancol.cn"/>
    <hyperlink ref="AK226" r:id="rId211"/>
    <hyperlink ref="D203" r:id="rId212"/>
    <hyperlink ref="D67" r:id="rId213"/>
    <hyperlink ref="D68" r:id="rId214"/>
    <hyperlink ref="D69" r:id="rId215"/>
    <hyperlink ref="D70" r:id="rId216"/>
    <hyperlink ref="AK67:AK70" r:id="rId217" display="golubcov_a@s3.ru"/>
    <hyperlink ref="D120" r:id="rId218"/>
    <hyperlink ref="AK120" r:id="rId219"/>
    <hyperlink ref="D146" r:id="rId220"/>
    <hyperlink ref="D147" r:id="rId221"/>
    <hyperlink ref="AK146:AK147" r:id="rId222" display="polivahin_a@s3.ru"/>
    <hyperlink ref="AK121" r:id="rId223"/>
    <hyperlink ref="AF203" r:id="rId224"/>
    <hyperlink ref="AK177" r:id="rId225"/>
    <hyperlink ref="D242" r:id="rId226"/>
    <hyperlink ref="D71" r:id="rId227"/>
    <hyperlink ref="AK71:AK72" r:id="rId228" display="golubcov_a@s3.ru"/>
    <hyperlink ref="AK242" r:id="rId229"/>
    <hyperlink ref="AK246" r:id="rId230"/>
    <hyperlink ref="D72" r:id="rId231"/>
    <hyperlink ref="D73" r:id="rId232"/>
    <hyperlink ref="D74" r:id="rId233"/>
    <hyperlink ref="AK5:AK73" r:id="rId234" display="golubcov_a@s3.ru"/>
    <hyperlink ref="D148" r:id="rId235"/>
    <hyperlink ref="AK148" r:id="rId236"/>
    <hyperlink ref="D149" r:id="rId237"/>
    <hyperlink ref="AK149" r:id="rId238"/>
    <hyperlink ref="D121" r:id="rId239"/>
    <hyperlink ref="D127" r:id="rId240"/>
    <hyperlink ref="AK127" r:id="rId241"/>
    <hyperlink ref="D221" r:id="rId242"/>
    <hyperlink ref="D231" r:id="rId243" display="mailto:vancol@vancol.cn"/>
    <hyperlink ref="AK231" r:id="rId244"/>
    <hyperlink ref="D204" r:id="rId245"/>
    <hyperlink ref="AK247" r:id="rId246"/>
    <hyperlink ref="AK199" r:id="rId247"/>
    <hyperlink ref="AK255" r:id="rId248"/>
    <hyperlink ref="D150" r:id="rId249"/>
    <hyperlink ref="AK150" r:id="rId250"/>
    <hyperlink ref="D243" r:id="rId251"/>
    <hyperlink ref="AK243" r:id="rId252"/>
    <hyperlink ref="AK221" r:id="rId253"/>
    <hyperlink ref="D93" r:id="rId254"/>
    <hyperlink ref="AK93" r:id="rId255"/>
    <hyperlink ref="AK210" r:id="rId256"/>
    <hyperlink ref="D210" r:id="rId257"/>
    <hyperlink ref="AK209" r:id="rId258"/>
    <hyperlink ref="D209" r:id="rId259"/>
    <hyperlink ref="D206" r:id="rId260"/>
    <hyperlink ref="AK260" r:id="rId261"/>
    <hyperlink ref="D81" r:id="rId262"/>
    <hyperlink ref="AK81" r:id="rId263"/>
    <hyperlink ref="D122" r:id="rId264"/>
    <hyperlink ref="AK122" r:id="rId265"/>
    <hyperlink ref="AK3:AK5" r:id="rId266" display="golubcov_a@s3.ru"/>
    <hyperlink ref="D3" r:id="rId267"/>
    <hyperlink ref="D4" r:id="rId268"/>
    <hyperlink ref="D162" r:id="rId269"/>
    <hyperlink ref="AK162" r:id="rId270"/>
    <hyperlink ref="AK263" r:id="rId271"/>
    <hyperlink ref="AK256" r:id="rId272"/>
    <hyperlink ref="AK251" r:id="rId273"/>
    <hyperlink ref="AK252" r:id="rId274"/>
    <hyperlink ref="AK257" r:id="rId275"/>
    <hyperlink ref="D123" r:id="rId276"/>
    <hyperlink ref="AK123" r:id="rId277"/>
    <hyperlink ref="AK248" r:id="rId278"/>
    <hyperlink ref="D223" r:id="rId279"/>
    <hyperlink ref="D124" r:id="rId280"/>
    <hyperlink ref="AK124" r:id="rId281"/>
    <hyperlink ref="AK183" r:id="rId282"/>
    <hyperlink ref="AK200" r:id="rId283"/>
    <hyperlink ref="AK178" r:id="rId284"/>
    <hyperlink ref="D82" r:id="rId285"/>
    <hyperlink ref="AK82" r:id="rId286"/>
    <hyperlink ref="D222" r:id="rId287"/>
    <hyperlink ref="AK222:AK223" r:id="rId288" display="gluh_m@s3.ru"/>
    <hyperlink ref="D125" r:id="rId289"/>
    <hyperlink ref="AK125" r:id="rId290"/>
    <hyperlink ref="D75" r:id="rId291"/>
    <hyperlink ref="AK179" r:id="rId292"/>
    <hyperlink ref="AK180" r:id="rId293"/>
    <hyperlink ref="AK181" r:id="rId294"/>
    <hyperlink ref="D151" r:id="rId295"/>
    <hyperlink ref="AK151" r:id="rId296"/>
    <hyperlink ref="D152" r:id="rId297"/>
    <hyperlink ref="AK152" r:id="rId298"/>
    <hyperlink ref="D153" r:id="rId299"/>
    <hyperlink ref="AK153" r:id="rId300"/>
    <hyperlink ref="D77" r:id="rId301"/>
    <hyperlink ref="D205" r:id="rId302"/>
    <hyperlink ref="D84" r:id="rId303"/>
    <hyperlink ref="D85" r:id="rId304"/>
    <hyperlink ref="D87" r:id="rId305"/>
    <hyperlink ref="AK84:AK87" r:id="rId306" display="golubcov_a@s3.ru"/>
    <hyperlink ref="D83" r:id="rId307"/>
    <hyperlink ref="AK83" r:id="rId308"/>
    <hyperlink ref="D86" r:id="rId309"/>
    <hyperlink ref="AK86" r:id="rId310"/>
    <hyperlink ref="AK258" r:id="rId311"/>
    <hyperlink ref="D244" r:id="rId312"/>
    <hyperlink ref="AK244" r:id="rId313"/>
    <hyperlink ref="D154" r:id="rId314"/>
    <hyperlink ref="D155" r:id="rId315"/>
    <hyperlink ref="AK154" r:id="rId316"/>
    <hyperlink ref="AK155" r:id="rId317"/>
    <hyperlink ref="D88" r:id="rId318"/>
    <hyperlink ref="D89" r:id="rId319"/>
    <hyperlink ref="AK88" r:id="rId320"/>
    <hyperlink ref="AK89" r:id="rId321"/>
    <hyperlink ref="AK253" r:id="rId322"/>
    <hyperlink ref="AK182" r:id="rId323"/>
    <hyperlink ref="AF260" r:id="rId324"/>
    <hyperlink ref="AG260" r:id="rId325"/>
    <hyperlink ref="AK264" r:id="rId326"/>
    <hyperlink ref="D160" r:id="rId327"/>
    <hyperlink ref="AK160" r:id="rId328"/>
    <hyperlink ref="D230" r:id="rId329" display="mailto:vancol@vancol.cn"/>
    <hyperlink ref="AK230" r:id="rId330"/>
    <hyperlink ref="D126" r:id="rId331"/>
    <hyperlink ref="AK126" r:id="rId332"/>
    <hyperlink ref="AK216" r:id="rId333"/>
    <hyperlink ref="AK217" r:id="rId334"/>
    <hyperlink ref="D224" r:id="rId335"/>
    <hyperlink ref="AK224" r:id="rId336"/>
    <hyperlink ref="AF263" r:id="rId337"/>
    <hyperlink ref="AK259" r:id="rId338"/>
    <hyperlink ref="D156" r:id="rId339"/>
    <hyperlink ref="AK156" r:id="rId340"/>
    <hyperlink ref="AK261" r:id="rId341"/>
    <hyperlink ref="AK262" r:id="rId342"/>
    <hyperlink ref="D128" r:id="rId343"/>
    <hyperlink ref="D129" r:id="rId344"/>
    <hyperlink ref="D130" r:id="rId345"/>
    <hyperlink ref="D157" r:id="rId346"/>
    <hyperlink ref="D158" r:id="rId347"/>
    <hyperlink ref="D207" r:id="rId348"/>
    <hyperlink ref="AK266" r:id="rId349"/>
    <hyperlink ref="AK267" r:id="rId350"/>
    <hyperlink ref="D161" r:id="rId351"/>
    <hyperlink ref="AK161" r:id="rId352" display="golubcov_a@s3.ru"/>
  </hyperlinks>
  <pageMargins left="0.23622047244094491" right="0.23622047244094491" top="0.15748031496062992" bottom="0.15748031496062992" header="0.31496062992125984" footer="0.31496062992125984"/>
  <pageSetup paperSize="9" scale="34" fitToHeight="0" orientation="landscape" r:id="rId353"/>
  <ignoredErrors>
    <ignoredError sqref="H209:H212 H245:H246 H196:H198 H232:H234 H241:H242 H201:H203 H218:H221 H228 H225:H226" numberStoredAsText="1"/>
    <ignoredError sqref="U244" formula="1"/>
  </ignoredErrors>
  <legacyDrawing r:id="rId354"/>
  <extLst xmlns:x14="http://schemas.microsoft.com/office/spreadsheetml/2009/9/main">
    <ext uri="{78C0D931-6437-407d-A8EE-F0AAD7539E65}">
      <x14:conditionalFormattings>
        <x14:conditionalFormatting xmlns:xm="http://schemas.microsoft.com/office/excel/2006/main">
          <x14:cfRule type="notContainsText" priority="2761" operator="notContains" id="{F6A70750-4457-4CC9-BFA7-4320BA9D5F91}">
            <xm:f>ISERROR(SEARCH($AC$306,G3))</xm:f>
            <xm:f>$AC$306</xm:f>
            <x14:dxf>
              <fill>
                <patternFill>
                  <bgColor rgb="FF7030A0"/>
                </patternFill>
              </fill>
            </x14:dxf>
          </x14:cfRule>
          <xm:sqref>G134 G3:G49 G182:H182 G72 G184:H184 G184:G186 G153:G170 G173:G182 G189:G200 G119:G132 G219:G225 G80:G105</xm:sqref>
        </x14:conditionalFormatting>
        <x14:conditionalFormatting xmlns:xm="http://schemas.microsoft.com/office/excel/2006/main">
          <x14:cfRule type="notContainsText" priority="1967" operator="notContains" id="{EDC39F05-7071-45CB-B13D-6D3B3DF1AE73}">
            <xm:f>ISERROR(SEARCH($AC$306,G133))</xm:f>
            <xm:f>$AC$306</xm:f>
            <x14:dxf>
              <fill>
                <patternFill>
                  <bgColor rgb="FF7030A0"/>
                </patternFill>
              </fill>
            </x14:dxf>
          </x14:cfRule>
          <xm:sqref>G133</xm:sqref>
        </x14:conditionalFormatting>
        <x14:conditionalFormatting xmlns:xm="http://schemas.microsoft.com/office/excel/2006/main">
          <x14:cfRule type="notContainsText" priority="1925" operator="notContains" id="{A13B3561-CE36-42AA-98AC-73AC1D9F7C4F}">
            <xm:f>ISERROR(SEARCH($AC$306,G106))</xm:f>
            <xm:f>$AC$306</xm:f>
            <x14:dxf>
              <fill>
                <patternFill>
                  <bgColor rgb="FF7030A0"/>
                </patternFill>
              </fill>
            </x14:dxf>
          </x14:cfRule>
          <xm:sqref>G106:G112</xm:sqref>
        </x14:conditionalFormatting>
        <x14:conditionalFormatting xmlns:xm="http://schemas.microsoft.com/office/excel/2006/main">
          <x14:cfRule type="notContainsText" priority="1739" operator="notContains" id="{8D642E24-A923-4944-852E-AD1A612A98A6}">
            <xm:f>ISERROR(SEARCH($AC$306,G135))</xm:f>
            <xm:f>$AC$306</xm:f>
            <x14:dxf>
              <fill>
                <patternFill>
                  <bgColor rgb="FF7030A0"/>
                </patternFill>
              </fill>
            </x14:dxf>
          </x14:cfRule>
          <xm:sqref>G135</xm:sqref>
        </x14:conditionalFormatting>
        <x14:conditionalFormatting xmlns:xm="http://schemas.microsoft.com/office/excel/2006/main">
          <x14:cfRule type="notContainsText" priority="1685" operator="notContains" id="{6A8A9F1E-F1EE-47C3-8119-AB924B16065E}">
            <xm:f>ISERROR(SEARCH($AC$306,G50))</xm:f>
            <xm:f>$AC$306</xm:f>
            <x14:dxf>
              <fill>
                <patternFill>
                  <bgColor rgb="FF7030A0"/>
                </patternFill>
              </fill>
            </x14:dxf>
          </x14:cfRule>
          <xm:sqref>G50:G52</xm:sqref>
        </x14:conditionalFormatting>
        <x14:conditionalFormatting xmlns:xm="http://schemas.microsoft.com/office/excel/2006/main">
          <x14:cfRule type="notContainsText" priority="1619" operator="notContains" id="{8E2B659F-98B8-4443-B760-45DF1E8198EC}">
            <xm:f>ISERROR(SEARCH($AC$306,G136))</xm:f>
            <xm:f>$AC$306</xm:f>
            <x14:dxf>
              <fill>
                <patternFill>
                  <bgColor rgb="FF7030A0"/>
                </patternFill>
              </fill>
            </x14:dxf>
          </x14:cfRule>
          <xm:sqref>G136</xm:sqref>
        </x14:conditionalFormatting>
        <x14:conditionalFormatting xmlns:xm="http://schemas.microsoft.com/office/excel/2006/main">
          <x14:cfRule type="notContainsText" priority="1486" operator="notContains" id="{91DD91BA-FFC5-42E4-B6D9-20845F9D1CC2}">
            <xm:f>ISERROR(SEARCH($AC$306,G188))</xm:f>
            <xm:f>$AC$306</xm:f>
            <x14:dxf>
              <fill>
                <patternFill>
                  <bgColor rgb="FF7030A0"/>
                </patternFill>
              </fill>
            </x14:dxf>
          </x14:cfRule>
          <xm:sqref>G188</xm:sqref>
        </x14:conditionalFormatting>
        <x14:conditionalFormatting xmlns:xm="http://schemas.microsoft.com/office/excel/2006/main">
          <x14:cfRule type="notContainsText" priority="1467" operator="notContains" id="{BF7A37A2-4A6B-4449-A69F-3A242EC68E88}">
            <xm:f>ISERROR(SEARCH($AC$306,G226))</xm:f>
            <xm:f>$AC$306</xm:f>
            <x14:dxf>
              <fill>
                <patternFill>
                  <bgColor rgb="FF7030A0"/>
                </patternFill>
              </fill>
            </x14:dxf>
          </x14:cfRule>
          <xm:sqref>G226:G230</xm:sqref>
        </x14:conditionalFormatting>
        <x14:conditionalFormatting xmlns:xm="http://schemas.microsoft.com/office/excel/2006/main">
          <x14:cfRule type="notContainsText" priority="1286" operator="notContains" id="{F35B113D-392A-4554-80B0-570B6E887D2C}">
            <xm:f>ISERROR(SEARCH($AC$306,G187))</xm:f>
            <xm:f>$AC$306</xm:f>
            <x14:dxf>
              <fill>
                <patternFill>
                  <bgColor rgb="FF7030A0"/>
                </patternFill>
              </fill>
            </x14:dxf>
          </x14:cfRule>
          <xm:sqref>G187</xm:sqref>
        </x14:conditionalFormatting>
        <x14:conditionalFormatting xmlns:xm="http://schemas.microsoft.com/office/excel/2006/main">
          <x14:cfRule type="notContainsText" priority="1244" operator="notContains" id="{9DE39A23-5F22-47AA-AC44-42A697A071C4}">
            <xm:f>ISERROR(SEARCH($AC$306,G53))</xm:f>
            <xm:f>$AC$306</xm:f>
            <x14:dxf>
              <fill>
                <patternFill>
                  <bgColor rgb="FF7030A0"/>
                </patternFill>
              </fill>
            </x14:dxf>
          </x14:cfRule>
          <xm:sqref>G53:G66</xm:sqref>
        </x14:conditionalFormatting>
        <x14:conditionalFormatting xmlns:xm="http://schemas.microsoft.com/office/excel/2006/main">
          <x14:cfRule type="notContainsText" priority="1242" operator="notContains" id="{D7DF88F4-BB70-4237-8FB4-971EC852DD81}">
            <xm:f>ISERROR(SEARCH($AC$306,G113))</xm:f>
            <xm:f>$AC$306</xm:f>
            <x14:dxf>
              <fill>
                <patternFill>
                  <bgColor rgb="FF7030A0"/>
                </patternFill>
              </fill>
            </x14:dxf>
          </x14:cfRule>
          <xm:sqref>G113:G117</xm:sqref>
        </x14:conditionalFormatting>
        <x14:conditionalFormatting xmlns:xm="http://schemas.microsoft.com/office/excel/2006/main">
          <x14:cfRule type="notContainsText" priority="1234" operator="notContains" id="{C7FE3D70-158F-42AD-A983-A0A29DCA5642}">
            <xm:f>ISERROR(SEARCH($AC$306,G67))</xm:f>
            <xm:f>$AC$306</xm:f>
            <x14:dxf>
              <fill>
                <patternFill>
                  <bgColor rgb="FF7030A0"/>
                </patternFill>
              </fill>
            </x14:dxf>
          </x14:cfRule>
          <xm:sqref>G67:G71</xm:sqref>
        </x14:conditionalFormatting>
        <x14:conditionalFormatting xmlns:xm="http://schemas.microsoft.com/office/excel/2006/main">
          <x14:cfRule type="notContainsText" priority="1230" operator="notContains" id="{B66411DC-C172-434F-B41D-D84492991E21}">
            <xm:f>ISERROR(SEARCH($AC$306,G231))</xm:f>
            <xm:f>$AC$306</xm:f>
            <x14:dxf>
              <fill>
                <patternFill>
                  <bgColor rgb="FF7030A0"/>
                </patternFill>
              </fill>
            </x14:dxf>
          </x14:cfRule>
          <xm:sqref>G231</xm:sqref>
        </x14:conditionalFormatting>
        <x14:conditionalFormatting xmlns:xm="http://schemas.microsoft.com/office/excel/2006/main">
          <x14:cfRule type="notContainsText" priority="1179" operator="notContains" id="{EF691A86-7DC4-4C13-BC82-10BA433B4AD7}">
            <xm:f>ISERROR(SEARCH($AC$306,G232))</xm:f>
            <xm:f>$AC$306</xm:f>
            <x14:dxf>
              <fill>
                <patternFill>
                  <bgColor rgb="FF7030A0"/>
                </patternFill>
              </fill>
            </x14:dxf>
          </x14:cfRule>
          <xm:sqref>G232:G233</xm:sqref>
        </x14:conditionalFormatting>
        <x14:conditionalFormatting xmlns:xm="http://schemas.microsoft.com/office/excel/2006/main">
          <x14:cfRule type="notContainsText" priority="1166" operator="notContains" id="{1D1A6B87-A31B-4142-BC86-9A47D7DF1323}">
            <xm:f>ISERROR(SEARCH($AC$306,G237))</xm:f>
            <xm:f>$AC$306</xm:f>
            <x14:dxf>
              <fill>
                <patternFill>
                  <bgColor rgb="FF7030A0"/>
                </patternFill>
              </fill>
            </x14:dxf>
          </x14:cfRule>
          <xm:sqref>G237</xm:sqref>
        </x14:conditionalFormatting>
        <x14:conditionalFormatting xmlns:xm="http://schemas.microsoft.com/office/excel/2006/main">
          <x14:cfRule type="notContainsText" priority="1124" operator="notContains" id="{4044B60C-7EED-4B39-95B4-CB0DAE66CA97}">
            <xm:f>ISERROR(SEARCH($AC$306,G234))</xm:f>
            <xm:f>$AC$306</xm:f>
            <x14:dxf>
              <fill>
                <patternFill>
                  <bgColor rgb="FF7030A0"/>
                </patternFill>
              </fill>
            </x14:dxf>
          </x14:cfRule>
          <xm:sqref>G234:G236</xm:sqref>
        </x14:conditionalFormatting>
        <x14:conditionalFormatting xmlns:xm="http://schemas.microsoft.com/office/excel/2006/main">
          <x14:cfRule type="notContainsText" priority="1079" operator="notContains" id="{04A467C6-2E50-4817-84A4-9E395084108A}">
            <xm:f>ISERROR(SEARCH($AC$306,G74))</xm:f>
            <xm:f>$AC$306</xm:f>
            <x14:dxf>
              <fill>
                <patternFill>
                  <bgColor rgb="FF7030A0"/>
                </patternFill>
              </fill>
            </x14:dxf>
          </x14:cfRule>
          <xm:sqref>G74</xm:sqref>
        </x14:conditionalFormatting>
        <x14:conditionalFormatting xmlns:xm="http://schemas.microsoft.com/office/excel/2006/main">
          <x14:cfRule type="notContainsText" priority="1062" operator="notContains" id="{CCFC46FE-3F97-4CB3-ACE7-5EF6D2673F36}">
            <xm:f>ISERROR(SEARCH($AC$306,G76))</xm:f>
            <xm:f>$AC$306</xm:f>
            <x14:dxf>
              <fill>
                <patternFill>
                  <bgColor rgb="FF7030A0"/>
                </patternFill>
              </fill>
            </x14:dxf>
          </x14:cfRule>
          <xm:sqref>G76</xm:sqref>
        </x14:conditionalFormatting>
        <x14:conditionalFormatting xmlns:xm="http://schemas.microsoft.com/office/excel/2006/main">
          <x14:cfRule type="notContainsText" priority="1045" operator="notContains" id="{27859D35-41DD-4B6C-A865-CA1B12E8B139}">
            <xm:f>ISERROR(SEARCH($AC$306,G78))</xm:f>
            <xm:f>$AC$306</xm:f>
            <x14:dxf>
              <fill>
                <patternFill>
                  <bgColor rgb="FF7030A0"/>
                </patternFill>
              </fill>
            </x14:dxf>
          </x14:cfRule>
          <xm:sqref>G78</xm:sqref>
        </x14:conditionalFormatting>
        <x14:conditionalFormatting xmlns:xm="http://schemas.microsoft.com/office/excel/2006/main">
          <x14:cfRule type="notContainsText" priority="983" operator="notContains" id="{F2D36497-7D90-4747-B899-8CAFF3C109CC}">
            <xm:f>ISERROR(SEARCH($AC$306,G238))</xm:f>
            <xm:f>$AC$306</xm:f>
            <x14:dxf>
              <fill>
                <patternFill>
                  <bgColor rgb="FF7030A0"/>
                </patternFill>
              </fill>
            </x14:dxf>
          </x14:cfRule>
          <xm:sqref>G238:G241</xm:sqref>
        </x14:conditionalFormatting>
        <x14:conditionalFormatting xmlns:xm="http://schemas.microsoft.com/office/excel/2006/main">
          <x14:cfRule type="notContainsText" priority="915" operator="notContains" id="{78BED781-52F1-411F-958B-48BD284E1054}">
            <xm:f>ISERROR(SEARCH($AC$306,G242))</xm:f>
            <xm:f>$AC$306</xm:f>
            <x14:dxf>
              <fill>
                <patternFill>
                  <bgColor rgb="FF7030A0"/>
                </patternFill>
              </fill>
            </x14:dxf>
          </x14:cfRule>
          <xm:sqref>G242</xm:sqref>
        </x14:conditionalFormatting>
        <x14:conditionalFormatting xmlns:xm="http://schemas.microsoft.com/office/excel/2006/main">
          <x14:cfRule type="notContainsText" priority="889" operator="notContains" id="{9CEF60B7-1CCB-4901-ACBC-17D5D7B3033C}">
            <xm:f>ISERROR(SEARCH($AC$306,G77))</xm:f>
            <xm:f>$AC$306</xm:f>
            <x14:dxf>
              <fill>
                <patternFill>
                  <bgColor rgb="FF7030A0"/>
                </patternFill>
              </fill>
            </x14:dxf>
          </x14:cfRule>
          <xm:sqref>G77</xm:sqref>
        </x14:conditionalFormatting>
        <x14:conditionalFormatting xmlns:xm="http://schemas.microsoft.com/office/excel/2006/main">
          <x14:cfRule type="notContainsText" priority="860" operator="notContains" id="{15A37400-F1BB-4AB7-8B17-E35EA8A0E258}">
            <xm:f>ISERROR(SEARCH($AC$306,G118))</xm:f>
            <xm:f>$AC$306</xm:f>
            <x14:dxf>
              <fill>
                <patternFill>
                  <bgColor rgb="FF7030A0"/>
                </patternFill>
              </fill>
            </x14:dxf>
          </x14:cfRule>
          <xm:sqref>G118</xm:sqref>
        </x14:conditionalFormatting>
        <x14:conditionalFormatting xmlns:xm="http://schemas.microsoft.com/office/excel/2006/main">
          <x14:cfRule type="notContainsText" priority="816" operator="notContains" id="{B124FE39-4FD3-4E1E-8132-924DDA575A71}">
            <xm:f>ISERROR(SEARCH($AC$306,G243))</xm:f>
            <xm:f>$AC$306</xm:f>
            <x14:dxf>
              <fill>
                <patternFill>
                  <bgColor rgb="FF7030A0"/>
                </patternFill>
              </fill>
            </x14:dxf>
          </x14:cfRule>
          <xm:sqref>G243:G244</xm:sqref>
        </x14:conditionalFormatting>
        <x14:conditionalFormatting xmlns:xm="http://schemas.microsoft.com/office/excel/2006/main">
          <x14:cfRule type="notContainsText" priority="640" operator="notContains" id="{20D8C443-CE70-4493-83EF-FCF475CBAE9B}">
            <xm:f>ISERROR(SEARCH($AC$306,G183))</xm:f>
            <xm:f>$AC$306</xm:f>
            <x14:dxf>
              <fill>
                <patternFill>
                  <bgColor rgb="FF7030A0"/>
                </patternFill>
              </fill>
            </x14:dxf>
          </x14:cfRule>
          <xm:sqref>G183:H183</xm:sqref>
        </x14:conditionalFormatting>
        <x14:conditionalFormatting xmlns:xm="http://schemas.microsoft.com/office/excel/2006/main">
          <x14:cfRule type="notContainsText" priority="596" operator="notContains" id="{1230E326-5189-416D-A541-5F16105BC9E6}">
            <xm:f>ISERROR(SEARCH($AC$306,G171))</xm:f>
            <xm:f>$AC$306</xm:f>
            <x14:dxf>
              <fill>
                <patternFill>
                  <bgColor rgb="FF7030A0"/>
                </patternFill>
              </fill>
            </x14:dxf>
          </x14:cfRule>
          <xm:sqref>G171</xm:sqref>
        </x14:conditionalFormatting>
        <x14:conditionalFormatting xmlns:xm="http://schemas.microsoft.com/office/excel/2006/main">
          <x14:cfRule type="notContainsText" priority="491" operator="notContains" id="{BAF558B5-1C12-486F-9367-62851DC633A2}">
            <xm:f>ISERROR(SEARCH($AC$306,G73))</xm:f>
            <xm:f>$AC$306</xm:f>
            <x14:dxf>
              <fill>
                <patternFill>
                  <bgColor rgb="FF7030A0"/>
                </patternFill>
              </fill>
            </x14:dxf>
          </x14:cfRule>
          <xm:sqref>G73</xm:sqref>
        </x14:conditionalFormatting>
        <x14:conditionalFormatting xmlns:xm="http://schemas.microsoft.com/office/excel/2006/main">
          <x14:cfRule type="notContainsText" priority="419" operator="notContains" id="{CD13DAD7-6B29-4C1C-9C1E-9F9616FDFAC9}">
            <xm:f>ISERROR(SEARCH($AC$306,G75))</xm:f>
            <xm:f>$AC$306</xm:f>
            <x14:dxf>
              <fill>
                <patternFill>
                  <bgColor rgb="FF7030A0"/>
                </patternFill>
              </fill>
            </x14:dxf>
          </x14:cfRule>
          <xm:sqref>G75</xm:sqref>
        </x14:conditionalFormatting>
        <x14:conditionalFormatting xmlns:xm="http://schemas.microsoft.com/office/excel/2006/main">
          <x14:cfRule type="notContainsText" priority="377" operator="notContains" id="{ECA442FB-E523-4F74-8827-5653FC1A6A13}">
            <xm:f>ISERROR(SEARCH($AC$306,G79))</xm:f>
            <xm:f>$AC$306</xm:f>
            <x14:dxf>
              <fill>
                <patternFill>
                  <bgColor rgb="FF7030A0"/>
                </patternFill>
              </fill>
            </x14:dxf>
          </x14:cfRule>
          <xm:sqref>G79</xm:sqref>
        </x14:conditionalFormatting>
        <x14:conditionalFormatting xmlns:xm="http://schemas.microsoft.com/office/excel/2006/main">
          <x14:cfRule type="notContainsText" priority="206" operator="notContains" id="{2AA98892-126A-403D-A1F0-142D96F908FB}">
            <xm:f>ISERROR(SEARCH($AC$306,G172))</xm:f>
            <xm:f>$AC$306</xm:f>
            <x14:dxf>
              <fill>
                <patternFill>
                  <bgColor rgb="FF7030A0"/>
                </patternFill>
              </fill>
            </x14:dxf>
          </x14:cfRule>
          <xm:sqref>G172</xm:sqref>
        </x14:conditionalFormatting>
      </x14:conditionalFormattings>
    </ext>
    <ext uri="{CCE6A557-97BC-4b89-ADB6-D9C93CAAB3DF}">
      <x14:dataValidations xmlns:xm="http://schemas.microsoft.com/office/excel/2006/main" count="1">
        <x14:dataValidation type="list" allowBlank="1" showInputMessage="1" showErrorMessage="1">
          <x14:formula1>
            <xm:f>'Архив!'!$AK$56:$AK$61</xm:f>
          </x14:formula1>
          <xm:sqref>AG6:AG230</xm:sqref>
        </x14:dataValidation>
      </x14:dataValidations>
    </ext>
  </extLst>
</worksheet>
</file>

<file path=xl/worksheets/sheet2.xml><?xml version="1.0" encoding="utf-8"?>
<worksheet xmlns="http://schemas.openxmlformats.org/spreadsheetml/2006/main" xmlns:r="http://schemas.openxmlformats.org/officeDocument/2006/relationships">
  <sheetPr codeName="List4"/>
  <dimension ref="A1:S93"/>
  <sheetViews>
    <sheetView topLeftCell="A3" zoomScale="70" zoomScaleNormal="70" workbookViewId="0">
      <selection activeCell="B33" sqref="B33:B56"/>
    </sheetView>
  </sheetViews>
  <sheetFormatPr defaultRowHeight="16.5"/>
  <cols>
    <col min="1" max="1" width="3.875" style="431" customWidth="1"/>
    <col min="2" max="2" width="68.75" style="458" customWidth="1"/>
    <col min="3" max="3" width="12.625" style="431" customWidth="1"/>
    <col min="4" max="4" width="17.125" style="431" customWidth="1"/>
    <col min="5" max="5" width="33" style="431" customWidth="1"/>
    <col min="6" max="6" width="2.375" style="431" customWidth="1"/>
    <col min="7" max="7" width="10.125" style="431" bestFit="1" customWidth="1"/>
    <col min="8" max="8" width="3.25" style="436" customWidth="1"/>
    <col min="9" max="9" width="23.625" style="436" customWidth="1"/>
    <col min="10" max="10" width="35.625" style="437" customWidth="1"/>
    <col min="11" max="11" width="8" style="436" customWidth="1"/>
    <col min="12" max="12" width="25.25" style="436" customWidth="1"/>
    <col min="13" max="13" width="18.875" style="194" customWidth="1"/>
    <col min="14" max="14" width="33.375" style="194" customWidth="1"/>
    <col min="15" max="15" width="16" customWidth="1"/>
    <col min="16" max="16" width="20.75" style="194" customWidth="1"/>
    <col min="17" max="17" width="10.875" style="194" customWidth="1"/>
    <col min="18" max="18" width="15.625" customWidth="1"/>
    <col min="19" max="19" width="18" customWidth="1"/>
  </cols>
  <sheetData>
    <row r="1" spans="1:17" ht="25.5" hidden="1" customHeight="1">
      <c r="B1" s="432"/>
      <c r="C1" s="433"/>
      <c r="D1" s="434"/>
      <c r="E1" s="435"/>
    </row>
    <row r="2" spans="1:17" ht="36.75" hidden="1" customHeight="1">
      <c r="B2" s="432"/>
      <c r="C2" s="433"/>
      <c r="D2" s="434"/>
      <c r="E2" s="435"/>
    </row>
    <row r="3" spans="1:17" s="49" customFormat="1" ht="15.95" customHeight="1">
      <c r="A3" s="438"/>
      <c r="B3" s="439"/>
      <c r="C3" s="440" t="s">
        <v>541</v>
      </c>
      <c r="D3" s="441" t="s">
        <v>868</v>
      </c>
      <c r="E3" s="442" t="s">
        <v>625</v>
      </c>
      <c r="F3" s="438"/>
      <c r="G3" s="438"/>
      <c r="H3" s="443">
        <v>1</v>
      </c>
      <c r="I3" s="444" t="s">
        <v>635</v>
      </c>
      <c r="J3" s="445" t="s">
        <v>634</v>
      </c>
      <c r="K3" s="446">
        <v>3</v>
      </c>
      <c r="L3" s="446"/>
      <c r="M3" s="215"/>
      <c r="N3" s="215"/>
      <c r="P3" s="213"/>
      <c r="Q3" s="215"/>
    </row>
    <row r="4" spans="1:17" s="49" customFormat="1" ht="15.95" customHeight="1">
      <c r="A4" s="438"/>
      <c r="B4" s="438"/>
      <c r="C4" s="438"/>
      <c r="D4" s="438"/>
      <c r="E4" s="438"/>
      <c r="F4" s="438"/>
      <c r="G4" s="440"/>
      <c r="H4" s="447">
        <v>2</v>
      </c>
      <c r="I4" s="448" t="s">
        <v>563</v>
      </c>
      <c r="J4" s="445" t="s">
        <v>568</v>
      </c>
      <c r="K4" s="446">
        <v>3</v>
      </c>
      <c r="L4" s="446"/>
      <c r="M4" s="215"/>
      <c r="N4" s="215"/>
      <c r="P4" s="213"/>
      <c r="Q4" s="215"/>
    </row>
    <row r="5" spans="1:17" s="49" customFormat="1" ht="15.95" customHeight="1">
      <c r="A5" s="438"/>
      <c r="B5" s="438"/>
      <c r="C5" s="438"/>
      <c r="D5" s="438"/>
      <c r="E5" s="449" t="s">
        <v>626</v>
      </c>
      <c r="F5" s="438"/>
      <c r="G5" s="440"/>
      <c r="H5" s="443">
        <v>3</v>
      </c>
      <c r="I5" s="448" t="s">
        <v>637</v>
      </c>
      <c r="J5" s="450" t="s">
        <v>636</v>
      </c>
      <c r="K5" s="446">
        <v>3</v>
      </c>
      <c r="L5" s="446"/>
      <c r="M5" s="215"/>
      <c r="N5" s="215"/>
      <c r="P5" s="213"/>
      <c r="Q5" s="215"/>
    </row>
    <row r="6" spans="1:17" s="49" customFormat="1" ht="15.95" customHeight="1">
      <c r="A6" s="438"/>
      <c r="B6" s="438"/>
      <c r="C6" s="438"/>
      <c r="D6" s="438"/>
      <c r="E6" s="449"/>
      <c r="F6" s="445"/>
      <c r="G6" s="451"/>
      <c r="H6" s="447">
        <v>4</v>
      </c>
      <c r="I6" s="448" t="s">
        <v>549</v>
      </c>
      <c r="J6" s="452" t="s">
        <v>603</v>
      </c>
      <c r="K6" s="446">
        <v>3</v>
      </c>
      <c r="L6" s="446"/>
      <c r="M6" s="215"/>
      <c r="N6" s="215"/>
      <c r="P6" s="213"/>
      <c r="Q6" s="215"/>
    </row>
    <row r="7" spans="1:17" s="49" customFormat="1" ht="15.95" customHeight="1">
      <c r="A7" s="438"/>
      <c r="B7" s="453" t="s">
        <v>627</v>
      </c>
      <c r="C7" s="438"/>
      <c r="D7" s="438"/>
      <c r="E7" s="449"/>
      <c r="F7" s="445"/>
      <c r="G7" s="445"/>
      <c r="H7" s="443">
        <v>5</v>
      </c>
      <c r="I7" s="448" t="s">
        <v>674</v>
      </c>
      <c r="J7" s="452" t="s">
        <v>673</v>
      </c>
      <c r="K7" s="446">
        <v>3</v>
      </c>
      <c r="L7" s="446"/>
      <c r="M7" s="215"/>
      <c r="N7" s="215"/>
      <c r="Q7" s="215"/>
    </row>
    <row r="8" spans="1:17" s="49" customFormat="1" ht="15.95" customHeight="1">
      <c r="A8" s="438"/>
      <c r="B8" s="454" t="s">
        <v>628</v>
      </c>
      <c r="C8" s="438"/>
      <c r="D8" s="438"/>
      <c r="E8" s="438"/>
      <c r="F8" s="445"/>
      <c r="G8" s="445" t="s">
        <v>345</v>
      </c>
      <c r="H8" s="447">
        <v>6</v>
      </c>
      <c r="I8" s="448" t="s">
        <v>680</v>
      </c>
      <c r="J8" s="455" t="s">
        <v>679</v>
      </c>
      <c r="K8" s="446">
        <v>3</v>
      </c>
      <c r="L8" s="446"/>
      <c r="M8" s="215"/>
      <c r="N8" s="215"/>
      <c r="Q8" s="215"/>
    </row>
    <row r="9" spans="1:17" s="49" customFormat="1" ht="15.95" customHeight="1">
      <c r="A9" s="438"/>
      <c r="B9" s="454" t="s">
        <v>629</v>
      </c>
      <c r="C9" s="438"/>
      <c r="D9" s="438"/>
      <c r="E9" s="438"/>
      <c r="F9" s="445"/>
      <c r="G9" s="445"/>
      <c r="H9" s="443">
        <v>7</v>
      </c>
      <c r="I9" s="448" t="s">
        <v>681</v>
      </c>
      <c r="J9" s="455" t="s">
        <v>684</v>
      </c>
      <c r="K9" s="446">
        <v>3</v>
      </c>
      <c r="L9" s="446"/>
      <c r="M9" s="215"/>
      <c r="N9" s="215"/>
      <c r="Q9" s="215"/>
    </row>
    <row r="10" spans="1:17" s="49" customFormat="1" ht="15.95" customHeight="1">
      <c r="A10" s="438"/>
      <c r="B10" s="454" t="s">
        <v>630</v>
      </c>
      <c r="C10" s="438"/>
      <c r="D10" s="438"/>
      <c r="E10" s="438"/>
      <c r="F10" s="445"/>
      <c r="G10" s="445"/>
      <c r="H10" s="447">
        <v>8</v>
      </c>
      <c r="I10" s="448" t="s">
        <v>682</v>
      </c>
      <c r="J10" s="455" t="s">
        <v>683</v>
      </c>
      <c r="K10" s="446">
        <v>3</v>
      </c>
      <c r="L10" s="446"/>
      <c r="M10" s="215"/>
      <c r="N10" s="215"/>
      <c r="Q10" s="215"/>
    </row>
    <row r="11" spans="1:17" s="49" customFormat="1" ht="15.95" customHeight="1">
      <c r="A11" s="438"/>
      <c r="B11" s="454" t="s">
        <v>631</v>
      </c>
      <c r="C11" s="438"/>
      <c r="D11" s="438"/>
      <c r="E11" s="438"/>
      <c r="F11" s="445"/>
      <c r="G11" s="445"/>
      <c r="H11" s="443">
        <v>9</v>
      </c>
      <c r="I11" s="448" t="s">
        <v>686</v>
      </c>
      <c r="J11" s="455" t="s">
        <v>685</v>
      </c>
      <c r="K11" s="446">
        <v>3</v>
      </c>
      <c r="L11" s="446"/>
      <c r="M11" s="215"/>
      <c r="N11" s="215"/>
      <c r="Q11" s="215"/>
    </row>
    <row r="12" spans="1:17" s="49" customFormat="1" ht="15.95" customHeight="1">
      <c r="A12" s="438"/>
      <c r="B12" s="454" t="s">
        <v>632</v>
      </c>
      <c r="C12" s="438"/>
      <c r="D12" s="438"/>
      <c r="E12" s="438"/>
      <c r="F12" s="445"/>
      <c r="G12" s="445"/>
      <c r="H12" s="447">
        <v>10</v>
      </c>
      <c r="I12" s="448" t="s">
        <v>701</v>
      </c>
      <c r="J12" s="455" t="s">
        <v>694</v>
      </c>
      <c r="K12" s="446">
        <v>3</v>
      </c>
      <c r="L12" s="446"/>
      <c r="M12" s="215"/>
      <c r="N12" s="215"/>
      <c r="Q12" s="215"/>
    </row>
    <row r="13" spans="1:17" s="49" customFormat="1" ht="15.95" customHeight="1">
      <c r="A13" s="438"/>
      <c r="B13" s="454" t="s">
        <v>633</v>
      </c>
      <c r="C13" s="438"/>
      <c r="D13" s="438"/>
      <c r="E13" s="438"/>
      <c r="F13" s="445"/>
      <c r="G13" s="445"/>
      <c r="H13" s="443">
        <v>11</v>
      </c>
      <c r="I13" s="448" t="s">
        <v>702</v>
      </c>
      <c r="J13" s="455" t="s">
        <v>695</v>
      </c>
      <c r="K13" s="446">
        <v>3</v>
      </c>
      <c r="L13" s="446"/>
      <c r="M13" s="215"/>
      <c r="N13" s="215"/>
      <c r="Q13" s="215"/>
    </row>
    <row r="14" spans="1:17" s="49" customFormat="1" ht="15.95" customHeight="1">
      <c r="A14" s="438"/>
      <c r="B14" s="438"/>
      <c r="C14" s="438"/>
      <c r="D14" s="438"/>
      <c r="E14" s="438"/>
      <c r="F14" s="445"/>
      <c r="G14" s="445"/>
      <c r="H14" s="447">
        <v>12</v>
      </c>
      <c r="I14" s="456" t="s">
        <v>233</v>
      </c>
      <c r="J14" s="455" t="s">
        <v>741</v>
      </c>
      <c r="K14" s="446">
        <v>3</v>
      </c>
      <c r="L14" s="446"/>
      <c r="M14" s="215"/>
      <c r="N14" s="215"/>
      <c r="Q14" s="215"/>
    </row>
    <row r="15" spans="1:17" s="49" customFormat="1" ht="15.95" customHeight="1">
      <c r="A15" s="438"/>
      <c r="B15" s="454"/>
      <c r="C15" s="438"/>
      <c r="D15" s="438"/>
      <c r="E15" s="438"/>
      <c r="F15" s="445"/>
      <c r="G15" s="445"/>
      <c r="H15" s="443">
        <v>13</v>
      </c>
      <c r="I15" s="456" t="s">
        <v>740</v>
      </c>
      <c r="J15" s="455" t="s">
        <v>741</v>
      </c>
      <c r="K15" s="446">
        <v>3</v>
      </c>
      <c r="L15" s="446"/>
      <c r="M15" s="215"/>
      <c r="N15" s="215"/>
      <c r="Q15" s="215"/>
    </row>
    <row r="16" spans="1:17" s="49" customFormat="1" ht="12" customHeight="1">
      <c r="A16" s="438"/>
      <c r="B16" s="438"/>
      <c r="C16" s="438"/>
      <c r="D16" s="438"/>
      <c r="E16" s="457"/>
      <c r="F16" s="445"/>
      <c r="G16" s="445"/>
      <c r="H16" s="447">
        <v>14</v>
      </c>
      <c r="I16" s="456" t="s">
        <v>714</v>
      </c>
      <c r="J16" s="455" t="s">
        <v>713</v>
      </c>
      <c r="K16" s="446">
        <v>3</v>
      </c>
      <c r="L16" s="446"/>
      <c r="M16" s="215"/>
      <c r="N16" s="215"/>
      <c r="Q16" s="215"/>
    </row>
    <row r="17" spans="1:17" s="49" customFormat="1" ht="25.5" customHeight="1">
      <c r="A17" s="431"/>
      <c r="B17" s="458"/>
      <c r="C17" s="459" t="s">
        <v>525</v>
      </c>
      <c r="D17" s="436" t="s">
        <v>521</v>
      </c>
      <c r="E17" s="459"/>
      <c r="F17" s="445"/>
      <c r="G17" s="445"/>
      <c r="H17" s="443">
        <v>15</v>
      </c>
      <c r="I17" s="446" t="s">
        <v>742</v>
      </c>
      <c r="J17" s="460" t="s">
        <v>122</v>
      </c>
      <c r="K17" s="446">
        <v>3</v>
      </c>
      <c r="L17" s="446"/>
      <c r="M17" s="215"/>
      <c r="N17" s="215"/>
      <c r="Q17" s="215"/>
    </row>
    <row r="18" spans="1:17" s="49" customFormat="1" ht="15.95" customHeight="1">
      <c r="A18" s="446">
        <v>1</v>
      </c>
      <c r="B18" s="456" t="s">
        <v>537</v>
      </c>
      <c r="C18" s="438"/>
      <c r="D18" s="456" t="s">
        <v>524</v>
      </c>
      <c r="E18" s="461"/>
      <c r="F18" s="445"/>
      <c r="G18" s="445"/>
      <c r="H18" s="447">
        <v>16</v>
      </c>
      <c r="I18" s="446" t="s">
        <v>743</v>
      </c>
      <c r="J18" s="462" t="s">
        <v>123</v>
      </c>
      <c r="K18" s="446">
        <v>3</v>
      </c>
      <c r="L18" s="446"/>
      <c r="M18" s="215"/>
      <c r="N18" s="215"/>
      <c r="Q18" s="215"/>
    </row>
    <row r="19" spans="1:17" s="49" customFormat="1" ht="15.95" customHeight="1">
      <c r="A19" s="446">
        <v>2</v>
      </c>
      <c r="B19" s="463" t="s">
        <v>517</v>
      </c>
      <c r="C19" s="438"/>
      <c r="D19" s="464" t="s">
        <v>524</v>
      </c>
      <c r="E19" s="461"/>
      <c r="F19" s="445"/>
      <c r="G19" s="445"/>
      <c r="H19" s="443">
        <v>17</v>
      </c>
      <c r="I19" s="446" t="s">
        <v>744</v>
      </c>
      <c r="J19" s="465" t="s">
        <v>124</v>
      </c>
      <c r="K19" s="446">
        <v>3</v>
      </c>
      <c r="L19" s="446"/>
      <c r="M19" s="215"/>
      <c r="N19" s="215"/>
      <c r="Q19" s="215"/>
    </row>
    <row r="20" spans="1:17" s="49" customFormat="1" ht="15.95" customHeight="1">
      <c r="A20" s="446">
        <v>3</v>
      </c>
      <c r="B20" s="463" t="s">
        <v>546</v>
      </c>
      <c r="C20" s="444"/>
      <c r="D20" s="464" t="s">
        <v>524</v>
      </c>
      <c r="E20" s="461"/>
      <c r="F20" s="445"/>
      <c r="G20" s="445"/>
      <c r="H20" s="447">
        <v>18</v>
      </c>
      <c r="I20" s="456" t="s">
        <v>768</v>
      </c>
      <c r="J20" s="466" t="s">
        <v>769</v>
      </c>
      <c r="K20" s="446">
        <v>2</v>
      </c>
      <c r="L20" s="462" t="s">
        <v>623</v>
      </c>
      <c r="M20" s="215"/>
      <c r="N20" s="215"/>
      <c r="O20" s="213"/>
      <c r="P20" s="213"/>
      <c r="Q20" s="215"/>
    </row>
    <row r="21" spans="1:17" s="49" customFormat="1" ht="15.95" customHeight="1">
      <c r="A21" s="446">
        <v>4</v>
      </c>
      <c r="B21" s="463" t="s">
        <v>620</v>
      </c>
      <c r="C21" s="464"/>
      <c r="D21" s="464" t="s">
        <v>539</v>
      </c>
      <c r="E21" s="448"/>
      <c r="F21" s="445"/>
      <c r="G21" s="445"/>
      <c r="H21" s="443">
        <v>19</v>
      </c>
      <c r="I21" s="446" t="s">
        <v>800</v>
      </c>
      <c r="J21" s="445" t="s">
        <v>799</v>
      </c>
      <c r="K21" s="446">
        <v>2</v>
      </c>
      <c r="L21" s="446"/>
      <c r="M21" s="215"/>
      <c r="N21" s="215"/>
      <c r="O21" s="213"/>
      <c r="P21" s="213"/>
      <c r="Q21" s="215"/>
    </row>
    <row r="22" spans="1:17" s="49" customFormat="1" ht="15.95" customHeight="1">
      <c r="A22" s="446">
        <v>5</v>
      </c>
      <c r="B22" s="463" t="s">
        <v>621</v>
      </c>
      <c r="C22" s="444"/>
      <c r="D22" s="464" t="s">
        <v>540</v>
      </c>
      <c r="E22" s="446"/>
      <c r="F22" s="445"/>
      <c r="G22" s="445"/>
      <c r="H22" s="447">
        <v>20</v>
      </c>
      <c r="I22" s="446" t="s">
        <v>853</v>
      </c>
      <c r="J22" s="467" t="s">
        <v>818</v>
      </c>
      <c r="K22" s="448">
        <v>1</v>
      </c>
      <c r="L22" s="446"/>
      <c r="M22" s="215"/>
      <c r="N22" s="215"/>
      <c r="O22" s="213"/>
      <c r="P22" s="213"/>
      <c r="Q22" s="215"/>
    </row>
    <row r="23" spans="1:17" s="49" customFormat="1" ht="15.95" customHeight="1">
      <c r="A23" s="446">
        <v>6</v>
      </c>
      <c r="B23" s="446" t="s">
        <v>515</v>
      </c>
      <c r="C23" s="468"/>
      <c r="D23" s="446" t="s">
        <v>522</v>
      </c>
      <c r="E23" s="469"/>
      <c r="F23" s="445"/>
      <c r="G23" s="445"/>
      <c r="H23" s="443">
        <v>21</v>
      </c>
      <c r="I23" s="446" t="s">
        <v>827</v>
      </c>
      <c r="J23" s="467" t="s">
        <v>826</v>
      </c>
      <c r="K23" s="448">
        <v>2</v>
      </c>
      <c r="L23" s="463"/>
      <c r="M23" s="215"/>
      <c r="N23" s="215"/>
      <c r="O23" s="213"/>
      <c r="P23" s="213"/>
      <c r="Q23" s="215"/>
    </row>
    <row r="24" spans="1:17" s="49" customFormat="1" ht="15.95" customHeight="1">
      <c r="A24" s="446">
        <v>7</v>
      </c>
      <c r="B24" s="446" t="s">
        <v>516</v>
      </c>
      <c r="C24" s="446"/>
      <c r="D24" s="446" t="s">
        <v>522</v>
      </c>
      <c r="E24" s="446"/>
      <c r="F24" s="445"/>
      <c r="G24" s="445"/>
      <c r="H24" s="466">
        <v>22</v>
      </c>
      <c r="I24" s="456" t="s">
        <v>867</v>
      </c>
      <c r="J24" s="441" t="s">
        <v>868</v>
      </c>
      <c r="K24" s="466">
        <v>1</v>
      </c>
      <c r="L24" s="463"/>
      <c r="M24" s="215"/>
      <c r="N24" s="215"/>
      <c r="O24" s="213"/>
      <c r="P24" s="213"/>
      <c r="Q24" s="215"/>
    </row>
    <row r="25" spans="1:17" s="49" customFormat="1" ht="15.95" customHeight="1">
      <c r="A25" s="446">
        <v>8</v>
      </c>
      <c r="B25" s="463" t="s">
        <v>544</v>
      </c>
      <c r="C25" s="464"/>
      <c r="D25" s="464" t="s">
        <v>523</v>
      </c>
      <c r="E25" s="446"/>
      <c r="F25" s="445"/>
      <c r="G25" s="445"/>
      <c r="H25" s="447">
        <v>23</v>
      </c>
      <c r="I25" s="446" t="s">
        <v>872</v>
      </c>
      <c r="J25" s="467" t="s">
        <v>871</v>
      </c>
      <c r="K25" s="448">
        <v>1</v>
      </c>
      <c r="L25" s="463"/>
      <c r="M25" s="215"/>
      <c r="N25" s="215"/>
      <c r="O25" s="213"/>
      <c r="P25" s="213"/>
      <c r="Q25" s="215"/>
    </row>
    <row r="26" spans="1:17" s="49" customFormat="1" ht="15.95" customHeight="1">
      <c r="A26" s="446">
        <v>9</v>
      </c>
      <c r="B26" s="463" t="s">
        <v>518</v>
      </c>
      <c r="C26" s="464"/>
      <c r="D26" s="464" t="s">
        <v>536</v>
      </c>
      <c r="E26" s="470"/>
      <c r="F26" s="445"/>
      <c r="G26" s="445"/>
      <c r="H26" s="446"/>
      <c r="I26" s="446"/>
      <c r="J26" s="466"/>
      <c r="K26" s="448"/>
      <c r="L26" s="463"/>
      <c r="M26" s="215"/>
      <c r="N26" s="215"/>
      <c r="O26" s="213"/>
      <c r="P26" s="213"/>
      <c r="Q26" s="215"/>
    </row>
    <row r="27" spans="1:17" s="49" customFormat="1" ht="15.95" customHeight="1">
      <c r="A27" s="446">
        <v>10</v>
      </c>
      <c r="B27" s="463" t="s">
        <v>538</v>
      </c>
      <c r="C27" s="464"/>
      <c r="D27" s="464" t="s">
        <v>536</v>
      </c>
      <c r="E27" s="470"/>
      <c r="F27" s="445"/>
      <c r="G27" s="445"/>
      <c r="H27" s="446"/>
      <c r="I27" s="446"/>
      <c r="J27" s="471" t="s">
        <v>643</v>
      </c>
      <c r="K27" s="448"/>
      <c r="L27" s="463"/>
      <c r="M27" s="215"/>
      <c r="N27" s="215"/>
      <c r="O27" s="213"/>
      <c r="P27" s="213"/>
      <c r="Q27" s="215"/>
    </row>
    <row r="28" spans="1:17" s="49" customFormat="1" ht="15.95" customHeight="1">
      <c r="A28" s="446">
        <v>11</v>
      </c>
      <c r="B28" s="463" t="s">
        <v>520</v>
      </c>
      <c r="C28" s="464"/>
      <c r="D28" s="464" t="s">
        <v>536</v>
      </c>
      <c r="E28" s="470"/>
      <c r="F28" s="445"/>
      <c r="G28" s="445"/>
      <c r="H28" s="446"/>
      <c r="I28" s="446"/>
      <c r="J28" s="467"/>
      <c r="K28" s="448"/>
      <c r="L28" s="456"/>
      <c r="M28" s="215"/>
      <c r="N28" s="215"/>
      <c r="O28" s="213"/>
      <c r="P28" s="213"/>
      <c r="Q28" s="215"/>
    </row>
    <row r="29" spans="1:17" s="49" customFormat="1" ht="15.95" customHeight="1">
      <c r="A29" s="456">
        <v>12</v>
      </c>
      <c r="B29" s="463" t="s">
        <v>519</v>
      </c>
      <c r="C29" s="451"/>
      <c r="D29" s="464" t="s">
        <v>536</v>
      </c>
      <c r="E29" s="470"/>
      <c r="F29" s="445"/>
      <c r="G29" s="445"/>
      <c r="H29" s="446"/>
      <c r="I29" s="446"/>
      <c r="J29" s="466"/>
      <c r="K29" s="456"/>
      <c r="L29" s="456"/>
      <c r="M29" s="215"/>
      <c r="N29" s="215"/>
      <c r="O29" s="213"/>
      <c r="P29" s="213"/>
      <c r="Q29" s="215"/>
    </row>
    <row r="30" spans="1:17" s="49" customFormat="1" ht="15.95" customHeight="1">
      <c r="A30" s="445">
        <v>13</v>
      </c>
      <c r="B30" s="463" t="s">
        <v>642</v>
      </c>
      <c r="C30" s="445"/>
      <c r="D30" s="464" t="s">
        <v>536</v>
      </c>
      <c r="E30" s="470"/>
      <c r="F30" s="445"/>
      <c r="G30" s="445"/>
      <c r="H30" s="446"/>
      <c r="I30" s="446"/>
      <c r="J30" s="466"/>
      <c r="K30" s="456"/>
      <c r="L30" s="456"/>
      <c r="M30" s="215"/>
      <c r="N30" s="215"/>
      <c r="O30" s="213"/>
      <c r="P30" s="213"/>
      <c r="Q30" s="215"/>
    </row>
    <row r="31" spans="1:17" s="49" customFormat="1">
      <c r="A31" s="445">
        <v>14</v>
      </c>
      <c r="B31" s="463" t="s">
        <v>526</v>
      </c>
      <c r="C31" s="445"/>
      <c r="D31" s="464" t="s">
        <v>641</v>
      </c>
      <c r="E31" s="445"/>
      <c r="F31" s="445"/>
      <c r="G31" s="445"/>
      <c r="H31" s="446"/>
      <c r="I31" s="446"/>
      <c r="J31" s="466"/>
      <c r="K31" s="456"/>
      <c r="L31" s="456"/>
      <c r="M31" s="215"/>
      <c r="N31" s="215"/>
      <c r="P31" s="213"/>
      <c r="Q31" s="215"/>
    </row>
    <row r="32" spans="1:17" s="49" customFormat="1" ht="21.95" customHeight="1">
      <c r="A32" s="445"/>
      <c r="B32" s="448" t="s">
        <v>543</v>
      </c>
      <c r="C32" s="438"/>
      <c r="D32" s="482" t="s">
        <v>545</v>
      </c>
      <c r="E32" s="482"/>
      <c r="F32" s="482"/>
      <c r="G32" s="482"/>
      <c r="H32" s="446"/>
      <c r="I32" s="484" t="s">
        <v>640</v>
      </c>
      <c r="J32" s="484"/>
      <c r="K32" s="484"/>
      <c r="L32" s="484"/>
      <c r="M32" s="215"/>
      <c r="N32" s="215"/>
      <c r="P32" s="213"/>
      <c r="Q32" s="215"/>
    </row>
    <row r="33" spans="1:17" s="49" customFormat="1" ht="21.95" customHeight="1">
      <c r="A33" s="466"/>
      <c r="B33" s="483" t="s">
        <v>833</v>
      </c>
      <c r="C33" s="438"/>
      <c r="D33" s="481" t="s">
        <v>892</v>
      </c>
      <c r="E33" s="481"/>
      <c r="F33" s="481"/>
      <c r="G33" s="481"/>
      <c r="H33" s="456"/>
      <c r="I33" s="485" t="s">
        <v>644</v>
      </c>
      <c r="J33" s="485"/>
      <c r="K33" s="485"/>
      <c r="L33" s="485"/>
      <c r="M33" s="215"/>
      <c r="N33" s="215"/>
      <c r="P33" s="213"/>
      <c r="Q33" s="215"/>
    </row>
    <row r="34" spans="1:17" s="49" customFormat="1" ht="21.95" customHeight="1">
      <c r="A34" s="466"/>
      <c r="B34" s="483"/>
      <c r="C34" s="438"/>
      <c r="D34" s="481"/>
      <c r="E34" s="481"/>
      <c r="F34" s="481"/>
      <c r="G34" s="481"/>
      <c r="H34" s="456"/>
      <c r="I34" s="485"/>
      <c r="J34" s="485"/>
      <c r="K34" s="485"/>
      <c r="L34" s="485"/>
      <c r="M34" s="215"/>
      <c r="N34" s="215"/>
      <c r="P34" s="213"/>
      <c r="Q34" s="215"/>
    </row>
    <row r="35" spans="1:17" s="49" customFormat="1" ht="21.95" customHeight="1">
      <c r="A35" s="466"/>
      <c r="B35" s="483"/>
      <c r="C35" s="466"/>
      <c r="D35" s="481"/>
      <c r="E35" s="481"/>
      <c r="F35" s="481"/>
      <c r="G35" s="481"/>
      <c r="H35" s="456"/>
      <c r="I35" s="485"/>
      <c r="J35" s="485"/>
      <c r="K35" s="485"/>
      <c r="L35" s="485"/>
      <c r="M35" s="215"/>
      <c r="N35" s="215"/>
      <c r="P35" s="213"/>
      <c r="Q35" s="215"/>
    </row>
    <row r="36" spans="1:17" s="49" customFormat="1" ht="21.95" customHeight="1">
      <c r="A36" s="466"/>
      <c r="B36" s="483"/>
      <c r="C36" s="466"/>
      <c r="D36" s="481"/>
      <c r="E36" s="481"/>
      <c r="F36" s="481"/>
      <c r="G36" s="481"/>
      <c r="H36" s="456"/>
      <c r="I36" s="485"/>
      <c r="J36" s="485"/>
      <c r="K36" s="485"/>
      <c r="L36" s="485"/>
      <c r="M36" s="215"/>
      <c r="N36" s="215"/>
      <c r="P36" s="213"/>
      <c r="Q36" s="215"/>
    </row>
    <row r="37" spans="1:17" s="49" customFormat="1" ht="21.95" customHeight="1">
      <c r="A37" s="466"/>
      <c r="B37" s="483"/>
      <c r="C37" s="466"/>
      <c r="D37" s="481"/>
      <c r="E37" s="481"/>
      <c r="F37" s="481"/>
      <c r="G37" s="481"/>
      <c r="H37" s="456"/>
      <c r="I37" s="485"/>
      <c r="J37" s="485"/>
      <c r="K37" s="485"/>
      <c r="L37" s="485"/>
      <c r="M37" s="215"/>
      <c r="N37" s="215"/>
      <c r="P37" s="213"/>
      <c r="Q37" s="215"/>
    </row>
    <row r="38" spans="1:17" s="49" customFormat="1" ht="21.95" customHeight="1">
      <c r="A38" s="466"/>
      <c r="B38" s="483"/>
      <c r="C38" s="466"/>
      <c r="D38" s="481"/>
      <c r="E38" s="481"/>
      <c r="F38" s="481"/>
      <c r="G38" s="481"/>
      <c r="H38" s="456"/>
      <c r="I38" s="485"/>
      <c r="J38" s="485"/>
      <c r="K38" s="485"/>
      <c r="L38" s="485"/>
      <c r="M38" s="215"/>
      <c r="N38" s="215"/>
      <c r="P38" s="213"/>
      <c r="Q38" s="215"/>
    </row>
    <row r="39" spans="1:17" s="49" customFormat="1" ht="21.95" customHeight="1">
      <c r="A39" s="466"/>
      <c r="B39" s="483"/>
      <c r="C39" s="466"/>
      <c r="D39" s="481"/>
      <c r="E39" s="481"/>
      <c r="F39" s="481"/>
      <c r="G39" s="481"/>
      <c r="H39" s="456"/>
      <c r="I39" s="485"/>
      <c r="J39" s="485"/>
      <c r="K39" s="485"/>
      <c r="L39" s="485"/>
      <c r="M39" s="215"/>
      <c r="N39" s="215"/>
      <c r="P39" s="213"/>
      <c r="Q39" s="215"/>
    </row>
    <row r="40" spans="1:17" s="49" customFormat="1" ht="21.95" customHeight="1">
      <c r="A40" s="466"/>
      <c r="B40" s="483"/>
      <c r="C40" s="466"/>
      <c r="D40" s="481"/>
      <c r="E40" s="481"/>
      <c r="F40" s="481"/>
      <c r="G40" s="481"/>
      <c r="H40" s="456"/>
      <c r="I40" s="485"/>
      <c r="J40" s="485"/>
      <c r="K40" s="485"/>
      <c r="L40" s="485"/>
      <c r="M40" s="215"/>
      <c r="N40" s="215"/>
      <c r="P40" s="213"/>
      <c r="Q40" s="215"/>
    </row>
    <row r="41" spans="1:17" s="49" customFormat="1" ht="21.95" customHeight="1">
      <c r="A41" s="466"/>
      <c r="B41" s="483"/>
      <c r="C41" s="466"/>
      <c r="D41" s="481"/>
      <c r="E41" s="481"/>
      <c r="F41" s="481"/>
      <c r="G41" s="481"/>
      <c r="H41" s="456"/>
      <c r="I41" s="485"/>
      <c r="J41" s="485"/>
      <c r="K41" s="485"/>
      <c r="L41" s="485"/>
      <c r="M41" s="215"/>
      <c r="N41" s="215"/>
      <c r="P41" s="213"/>
      <c r="Q41" s="215"/>
    </row>
    <row r="42" spans="1:17" s="49" customFormat="1" ht="21.95" customHeight="1">
      <c r="A42" s="466"/>
      <c r="B42" s="483"/>
      <c r="C42" s="466"/>
      <c r="D42" s="481"/>
      <c r="E42" s="481"/>
      <c r="F42" s="481"/>
      <c r="G42" s="481"/>
      <c r="H42" s="456"/>
      <c r="I42" s="485"/>
      <c r="J42" s="485"/>
      <c r="K42" s="485"/>
      <c r="L42" s="485"/>
      <c r="M42" s="215"/>
      <c r="N42" s="215"/>
      <c r="P42" s="213"/>
      <c r="Q42" s="215"/>
    </row>
    <row r="43" spans="1:17" s="49" customFormat="1" ht="21.95" customHeight="1">
      <c r="A43" s="466"/>
      <c r="B43" s="483"/>
      <c r="C43" s="466"/>
      <c r="D43" s="481"/>
      <c r="E43" s="481"/>
      <c r="F43" s="481"/>
      <c r="G43" s="481"/>
      <c r="H43" s="456"/>
      <c r="I43" s="485"/>
      <c r="J43" s="485"/>
      <c r="K43" s="485"/>
      <c r="L43" s="485"/>
      <c r="M43" s="215"/>
      <c r="N43" s="215"/>
      <c r="P43" s="213"/>
      <c r="Q43" s="215"/>
    </row>
    <row r="44" spans="1:17" s="49" customFormat="1" ht="21.95" customHeight="1">
      <c r="A44" s="438"/>
      <c r="B44" s="483"/>
      <c r="C44" s="438"/>
      <c r="D44" s="481"/>
      <c r="E44" s="481"/>
      <c r="F44" s="481"/>
      <c r="G44" s="481"/>
      <c r="H44" s="456"/>
      <c r="I44" s="485"/>
      <c r="J44" s="485"/>
      <c r="K44" s="485"/>
      <c r="L44" s="485"/>
      <c r="M44" s="215"/>
      <c r="N44" s="215"/>
      <c r="P44" s="213"/>
      <c r="Q44" s="215"/>
    </row>
    <row r="45" spans="1:17" s="49" customFormat="1" ht="21.95" customHeight="1">
      <c r="A45" s="438"/>
      <c r="B45" s="483"/>
      <c r="C45" s="438"/>
      <c r="D45" s="481"/>
      <c r="E45" s="481"/>
      <c r="F45" s="481"/>
      <c r="G45" s="481"/>
      <c r="H45" s="456"/>
      <c r="I45" s="485"/>
      <c r="J45" s="485"/>
      <c r="K45" s="485"/>
      <c r="L45" s="485"/>
      <c r="M45" s="215"/>
      <c r="N45" s="215"/>
      <c r="P45" s="213"/>
      <c r="Q45" s="215"/>
    </row>
    <row r="46" spans="1:17" s="49" customFormat="1" ht="21.95" customHeight="1">
      <c r="A46" s="438"/>
      <c r="B46" s="483"/>
      <c r="C46" s="438"/>
      <c r="D46" s="481"/>
      <c r="E46" s="481"/>
      <c r="F46" s="481"/>
      <c r="G46" s="481"/>
      <c r="H46" s="456"/>
      <c r="I46" s="485"/>
      <c r="J46" s="485"/>
      <c r="K46" s="485"/>
      <c r="L46" s="485"/>
      <c r="M46" s="215"/>
      <c r="N46" s="215"/>
      <c r="P46" s="213"/>
      <c r="Q46" s="215"/>
    </row>
    <row r="47" spans="1:17" s="49" customFormat="1" ht="21.95" customHeight="1">
      <c r="A47" s="438"/>
      <c r="B47" s="483"/>
      <c r="C47" s="438"/>
      <c r="D47" s="481"/>
      <c r="E47" s="481"/>
      <c r="F47" s="481"/>
      <c r="G47" s="481"/>
      <c r="H47" s="456"/>
      <c r="I47" s="485"/>
      <c r="J47" s="485"/>
      <c r="K47" s="485"/>
      <c r="L47" s="485"/>
      <c r="M47" s="215"/>
      <c r="N47" s="215"/>
      <c r="P47" s="213"/>
      <c r="Q47" s="215"/>
    </row>
    <row r="48" spans="1:17" s="49" customFormat="1" ht="21.95" customHeight="1">
      <c r="A48" s="438"/>
      <c r="B48" s="483"/>
      <c r="C48" s="438"/>
      <c r="D48" s="481"/>
      <c r="E48" s="481"/>
      <c r="F48" s="481"/>
      <c r="G48" s="481"/>
      <c r="H48" s="456"/>
      <c r="I48" s="485"/>
      <c r="J48" s="485"/>
      <c r="K48" s="485"/>
      <c r="L48" s="485"/>
      <c r="M48" s="215"/>
      <c r="N48" s="215"/>
      <c r="P48" s="213"/>
      <c r="Q48" s="215"/>
    </row>
    <row r="49" spans="1:19" s="49" customFormat="1" ht="21.95" customHeight="1">
      <c r="A49" s="438"/>
      <c r="B49" s="483"/>
      <c r="C49" s="438"/>
      <c r="D49" s="481"/>
      <c r="E49" s="481"/>
      <c r="F49" s="481"/>
      <c r="G49" s="481"/>
      <c r="H49" s="456"/>
      <c r="I49" s="485"/>
      <c r="J49" s="485"/>
      <c r="K49" s="485"/>
      <c r="L49" s="485"/>
      <c r="M49" s="215"/>
      <c r="N49" s="215"/>
      <c r="P49" s="213"/>
      <c r="Q49" s="215"/>
    </row>
    <row r="50" spans="1:19" s="49" customFormat="1" ht="21.95" customHeight="1">
      <c r="A50" s="438"/>
      <c r="B50" s="483"/>
      <c r="C50" s="438"/>
      <c r="D50" s="481"/>
      <c r="E50" s="481"/>
      <c r="F50" s="481"/>
      <c r="G50" s="481"/>
      <c r="H50" s="456"/>
      <c r="I50" s="485"/>
      <c r="J50" s="485"/>
      <c r="K50" s="485"/>
      <c r="L50" s="485"/>
      <c r="M50" s="215"/>
      <c r="N50" s="215"/>
      <c r="P50" s="213"/>
      <c r="Q50" s="215"/>
    </row>
    <row r="51" spans="1:19" s="49" customFormat="1" ht="21.95" customHeight="1">
      <c r="A51" s="438"/>
      <c r="B51" s="483"/>
      <c r="C51" s="438"/>
      <c r="D51" s="481"/>
      <c r="E51" s="481"/>
      <c r="F51" s="481"/>
      <c r="G51" s="481"/>
      <c r="H51" s="456"/>
      <c r="I51" s="485"/>
      <c r="J51" s="485"/>
      <c r="K51" s="485"/>
      <c r="L51" s="485"/>
      <c r="M51" s="215"/>
      <c r="N51" s="215"/>
      <c r="P51" s="213"/>
      <c r="Q51" s="215"/>
    </row>
    <row r="52" spans="1:19" s="49" customFormat="1" ht="21.95" customHeight="1">
      <c r="A52" s="438"/>
      <c r="B52" s="483"/>
      <c r="C52" s="438"/>
      <c r="D52" s="481"/>
      <c r="E52" s="481"/>
      <c r="F52" s="481"/>
      <c r="G52" s="481"/>
      <c r="H52" s="456"/>
      <c r="I52" s="485"/>
      <c r="J52" s="485"/>
      <c r="K52" s="485"/>
      <c r="L52" s="485"/>
      <c r="M52" s="215"/>
      <c r="N52" s="215"/>
      <c r="P52" s="213"/>
      <c r="Q52" s="215"/>
    </row>
    <row r="53" spans="1:19" s="49" customFormat="1" ht="21.95" customHeight="1">
      <c r="A53" s="438"/>
      <c r="B53" s="483"/>
      <c r="C53" s="438"/>
      <c r="D53" s="481"/>
      <c r="E53" s="481"/>
      <c r="F53" s="481"/>
      <c r="G53" s="481"/>
      <c r="H53" s="456"/>
      <c r="I53" s="485"/>
      <c r="J53" s="485"/>
      <c r="K53" s="485"/>
      <c r="L53" s="485"/>
      <c r="M53" s="215"/>
      <c r="N53" s="215"/>
      <c r="P53" s="213"/>
      <c r="Q53" s="215"/>
    </row>
    <row r="54" spans="1:19" s="49" customFormat="1" ht="21.95" customHeight="1">
      <c r="A54" s="438"/>
      <c r="B54" s="483"/>
      <c r="C54" s="438"/>
      <c r="D54" s="481"/>
      <c r="E54" s="481"/>
      <c r="F54" s="481"/>
      <c r="G54" s="481"/>
      <c r="H54" s="456"/>
      <c r="I54" s="456"/>
      <c r="J54" s="466"/>
      <c r="K54" s="456"/>
      <c r="L54" s="456"/>
      <c r="M54" s="215"/>
      <c r="N54" s="215"/>
      <c r="P54" s="213"/>
      <c r="Q54" s="215"/>
    </row>
    <row r="55" spans="1:19" s="49" customFormat="1" ht="21.95" customHeight="1">
      <c r="A55" s="438"/>
      <c r="B55" s="483"/>
      <c r="C55" s="438"/>
      <c r="D55" s="481"/>
      <c r="E55" s="481"/>
      <c r="F55" s="481"/>
      <c r="G55" s="481"/>
      <c r="H55" s="456"/>
      <c r="I55" s="456"/>
      <c r="J55" s="466"/>
      <c r="K55" s="456"/>
      <c r="L55" s="456"/>
      <c r="M55" s="215"/>
      <c r="N55" s="215"/>
      <c r="P55" s="213"/>
      <c r="Q55" s="215"/>
    </row>
    <row r="56" spans="1:19" s="49" customFormat="1" ht="163.5" customHeight="1">
      <c r="A56" s="438"/>
      <c r="B56" s="483"/>
      <c r="C56" s="438"/>
      <c r="D56" s="481"/>
      <c r="E56" s="481"/>
      <c r="F56" s="481"/>
      <c r="G56" s="481"/>
      <c r="H56" s="456"/>
      <c r="I56" s="456"/>
      <c r="J56" s="466"/>
      <c r="K56" s="456"/>
      <c r="L56" s="456"/>
      <c r="M56" s="215"/>
      <c r="N56" s="215"/>
      <c r="P56" s="213"/>
      <c r="Q56" s="215"/>
    </row>
    <row r="57" spans="1:19" s="49" customFormat="1">
      <c r="A57" s="438"/>
      <c r="B57" s="438"/>
      <c r="C57" s="438"/>
      <c r="D57" s="438"/>
      <c r="E57" s="438"/>
      <c r="F57" s="438"/>
      <c r="G57" s="438"/>
      <c r="H57" s="456"/>
      <c r="I57" s="456"/>
      <c r="J57" s="466"/>
      <c r="K57" s="456"/>
      <c r="L57" s="456"/>
      <c r="M57" s="215"/>
      <c r="N57" s="215"/>
      <c r="P57" s="213"/>
      <c r="Q57" s="215"/>
    </row>
    <row r="58" spans="1:19" s="49" customFormat="1">
      <c r="A58" s="438"/>
      <c r="B58" s="438"/>
      <c r="C58" s="438"/>
      <c r="D58" s="438"/>
      <c r="E58" s="438"/>
      <c r="F58" s="438"/>
      <c r="G58" s="438"/>
      <c r="H58" s="456"/>
      <c r="I58" s="448"/>
      <c r="J58" s="466"/>
      <c r="K58" s="456" t="s">
        <v>704</v>
      </c>
      <c r="L58" s="456" t="s">
        <v>697</v>
      </c>
      <c r="M58" s="215" t="s">
        <v>698</v>
      </c>
      <c r="N58" s="101" t="s">
        <v>699</v>
      </c>
      <c r="P58" s="213" t="s">
        <v>706</v>
      </c>
      <c r="Q58" s="215" t="s">
        <v>707</v>
      </c>
      <c r="R58" s="215" t="s">
        <v>698</v>
      </c>
      <c r="S58" s="215" t="s">
        <v>699</v>
      </c>
    </row>
    <row r="59" spans="1:19" s="49" customFormat="1">
      <c r="A59" s="438"/>
      <c r="B59" s="438"/>
      <c r="C59" s="438"/>
      <c r="D59" s="438"/>
      <c r="E59" s="438"/>
      <c r="F59" s="438"/>
      <c r="G59" s="438"/>
      <c r="H59" s="456"/>
      <c r="I59" s="444" t="s">
        <v>635</v>
      </c>
      <c r="J59" s="445" t="s">
        <v>634</v>
      </c>
      <c r="K59" s="456">
        <v>3</v>
      </c>
      <c r="L59" s="456" t="s">
        <v>18</v>
      </c>
      <c r="M59" s="215" t="s">
        <v>18</v>
      </c>
      <c r="N59" s="101" t="s">
        <v>18</v>
      </c>
      <c r="P59" s="205" t="s">
        <v>549</v>
      </c>
      <c r="Q59" s="215" t="s">
        <v>18</v>
      </c>
      <c r="R59" s="215" t="s">
        <v>18</v>
      </c>
      <c r="S59" s="215" t="s">
        <v>18</v>
      </c>
    </row>
    <row r="60" spans="1:19" s="49" customFormat="1">
      <c r="A60" s="438"/>
      <c r="B60" s="438"/>
      <c r="C60" s="438"/>
      <c r="D60" s="438"/>
      <c r="E60" s="438"/>
      <c r="F60" s="438"/>
      <c r="G60" s="438"/>
      <c r="H60" s="456"/>
      <c r="I60" s="448" t="s">
        <v>563</v>
      </c>
      <c r="J60" s="467" t="s">
        <v>568</v>
      </c>
      <c r="K60" s="456">
        <v>3</v>
      </c>
      <c r="L60" s="456" t="s">
        <v>711</v>
      </c>
      <c r="M60" s="215" t="s">
        <v>700</v>
      </c>
      <c r="N60" s="101" t="s">
        <v>18</v>
      </c>
      <c r="P60" s="213" t="s">
        <v>337</v>
      </c>
      <c r="Q60" s="215" t="s">
        <v>18</v>
      </c>
      <c r="R60" s="215" t="s">
        <v>18</v>
      </c>
      <c r="S60" s="101" t="s">
        <v>18</v>
      </c>
    </row>
    <row r="61" spans="1:19" s="49" customFormat="1">
      <c r="A61" s="438"/>
      <c r="B61" s="438"/>
      <c r="C61" s="438"/>
      <c r="D61" s="438"/>
      <c r="E61" s="438"/>
      <c r="F61" s="438"/>
      <c r="G61" s="438"/>
      <c r="H61" s="456"/>
      <c r="I61" s="448" t="s">
        <v>637</v>
      </c>
      <c r="J61" s="472" t="s">
        <v>636</v>
      </c>
      <c r="K61" s="456">
        <v>3</v>
      </c>
      <c r="L61" s="456" t="s">
        <v>18</v>
      </c>
      <c r="M61" s="215" t="s">
        <v>18</v>
      </c>
      <c r="N61" s="101" t="s">
        <v>703</v>
      </c>
      <c r="P61" s="215" t="s">
        <v>701</v>
      </c>
      <c r="Q61" s="215" t="s">
        <v>18</v>
      </c>
      <c r="R61" s="215" t="s">
        <v>700</v>
      </c>
      <c r="S61" s="215"/>
    </row>
    <row r="62" spans="1:19" s="49" customFormat="1">
      <c r="A62" s="438"/>
      <c r="B62" s="438"/>
      <c r="C62" s="438"/>
      <c r="D62" s="438"/>
      <c r="E62" s="438"/>
      <c r="F62" s="438"/>
      <c r="G62" s="438"/>
      <c r="H62" s="456"/>
      <c r="I62" s="448" t="s">
        <v>549</v>
      </c>
      <c r="J62" s="452" t="s">
        <v>603</v>
      </c>
      <c r="K62" s="456">
        <v>3</v>
      </c>
      <c r="L62" s="456" t="s">
        <v>18</v>
      </c>
      <c r="M62" s="217" t="s">
        <v>18</v>
      </c>
      <c r="N62" s="101" t="s">
        <v>18</v>
      </c>
      <c r="P62" s="215" t="s">
        <v>702</v>
      </c>
      <c r="Q62" s="215" t="s">
        <v>18</v>
      </c>
      <c r="R62" s="215" t="s">
        <v>18</v>
      </c>
      <c r="S62" s="215"/>
    </row>
    <row r="63" spans="1:19" s="49" customFormat="1">
      <c r="A63" s="438"/>
      <c r="B63" s="438"/>
      <c r="C63" s="438"/>
      <c r="D63" s="438"/>
      <c r="E63" s="438"/>
      <c r="F63" s="438"/>
      <c r="G63" s="438"/>
      <c r="H63" s="456"/>
      <c r="I63" s="448" t="s">
        <v>674</v>
      </c>
      <c r="J63" s="466" t="s">
        <v>673</v>
      </c>
      <c r="K63" s="456">
        <v>2</v>
      </c>
      <c r="L63" s="456" t="s">
        <v>18</v>
      </c>
      <c r="M63" s="215" t="s">
        <v>18</v>
      </c>
      <c r="N63" s="101" t="s">
        <v>703</v>
      </c>
      <c r="P63" s="213"/>
      <c r="Q63" s="215"/>
      <c r="R63" s="215"/>
      <c r="S63" s="215"/>
    </row>
    <row r="64" spans="1:19" s="49" customFormat="1">
      <c r="A64" s="438"/>
      <c r="B64" s="438"/>
      <c r="C64" s="438"/>
      <c r="D64" s="438"/>
      <c r="E64" s="438"/>
      <c r="F64" s="438"/>
      <c r="G64" s="438"/>
      <c r="H64" s="456"/>
      <c r="I64" s="448" t="s">
        <v>680</v>
      </c>
      <c r="J64" s="466" t="s">
        <v>679</v>
      </c>
      <c r="K64" s="456">
        <v>2</v>
      </c>
      <c r="L64" s="456" t="s">
        <v>18</v>
      </c>
      <c r="M64" s="215" t="s">
        <v>18</v>
      </c>
      <c r="N64" s="101" t="s">
        <v>18</v>
      </c>
      <c r="P64" s="213"/>
      <c r="Q64" s="215"/>
      <c r="R64" s="215"/>
      <c r="S64" s="215"/>
    </row>
    <row r="65" spans="1:19" s="49" customFormat="1">
      <c r="A65" s="438"/>
      <c r="B65" s="438"/>
      <c r="C65" s="438"/>
      <c r="D65" s="438"/>
      <c r="E65" s="438"/>
      <c r="F65" s="438"/>
      <c r="G65" s="438"/>
      <c r="H65" s="456"/>
      <c r="I65" s="448" t="s">
        <v>681</v>
      </c>
      <c r="J65" s="466" t="s">
        <v>684</v>
      </c>
      <c r="K65" s="456">
        <v>2</v>
      </c>
      <c r="L65" s="456" t="s">
        <v>18</v>
      </c>
      <c r="M65" s="215" t="s">
        <v>18</v>
      </c>
      <c r="N65" s="101" t="s">
        <v>703</v>
      </c>
      <c r="P65" s="213"/>
      <c r="Q65" s="215"/>
      <c r="R65" s="215"/>
      <c r="S65" s="215"/>
    </row>
    <row r="66" spans="1:19" s="49" customFormat="1">
      <c r="A66" s="438"/>
      <c r="B66" s="438"/>
      <c r="C66" s="438"/>
      <c r="D66" s="438"/>
      <c r="E66" s="438"/>
      <c r="F66" s="438"/>
      <c r="G66" s="438"/>
      <c r="H66" s="456"/>
      <c r="I66" s="448" t="s">
        <v>682</v>
      </c>
      <c r="J66" s="466" t="s">
        <v>683</v>
      </c>
      <c r="K66" s="456">
        <v>2</v>
      </c>
      <c r="L66" s="456" t="s">
        <v>18</v>
      </c>
      <c r="M66" s="215" t="s">
        <v>18</v>
      </c>
      <c r="N66" s="101" t="s">
        <v>18</v>
      </c>
      <c r="P66" s="213"/>
      <c r="Q66" s="215"/>
      <c r="R66" s="215"/>
      <c r="S66" s="215"/>
    </row>
    <row r="67" spans="1:19" s="49" customFormat="1">
      <c r="A67" s="438"/>
      <c r="B67" s="438"/>
      <c r="C67" s="438"/>
      <c r="D67" s="438"/>
      <c r="E67" s="438"/>
      <c r="F67" s="438"/>
      <c r="G67" s="438"/>
      <c r="H67" s="456"/>
      <c r="I67" s="448" t="s">
        <v>686</v>
      </c>
      <c r="J67" s="466" t="s">
        <v>685</v>
      </c>
      <c r="K67" s="456">
        <v>2</v>
      </c>
      <c r="L67" s="456" t="s">
        <v>18</v>
      </c>
      <c r="M67" s="215" t="s">
        <v>705</v>
      </c>
      <c r="N67" s="101" t="s">
        <v>18</v>
      </c>
      <c r="P67" s="213"/>
      <c r="Q67" s="215"/>
      <c r="R67" s="215"/>
      <c r="S67" s="215"/>
    </row>
    <row r="68" spans="1:19" s="49" customFormat="1">
      <c r="A68" s="438"/>
      <c r="B68" s="438"/>
      <c r="C68" s="438"/>
      <c r="D68" s="438"/>
      <c r="E68" s="438"/>
      <c r="F68" s="438"/>
      <c r="G68" s="438"/>
      <c r="H68" s="456"/>
      <c r="I68" s="448" t="s">
        <v>701</v>
      </c>
      <c r="J68" s="441" t="s">
        <v>694</v>
      </c>
      <c r="K68" s="456">
        <v>2</v>
      </c>
      <c r="L68" s="456" t="s">
        <v>18</v>
      </c>
      <c r="M68" s="215" t="s">
        <v>18</v>
      </c>
      <c r="N68" s="101" t="s">
        <v>18</v>
      </c>
      <c r="P68" s="213"/>
      <c r="Q68" s="215"/>
      <c r="R68" s="215"/>
      <c r="S68" s="215"/>
    </row>
    <row r="69" spans="1:19" s="49" customFormat="1">
      <c r="A69" s="438"/>
      <c r="B69" s="438"/>
      <c r="C69" s="438"/>
      <c r="D69" s="438"/>
      <c r="E69" s="438"/>
      <c r="F69" s="438"/>
      <c r="G69" s="438"/>
      <c r="H69" s="456"/>
      <c r="I69" s="448" t="s">
        <v>702</v>
      </c>
      <c r="J69" s="441" t="s">
        <v>695</v>
      </c>
      <c r="K69" s="456">
        <v>2</v>
      </c>
      <c r="L69" s="456" t="s">
        <v>18</v>
      </c>
      <c r="M69" s="215" t="s">
        <v>700</v>
      </c>
      <c r="N69" s="101" t="s">
        <v>708</v>
      </c>
      <c r="P69" s="213"/>
      <c r="Q69" s="215"/>
      <c r="R69" s="215"/>
      <c r="S69" s="215"/>
    </row>
    <row r="70" spans="1:19" s="49" customFormat="1">
      <c r="A70" s="438"/>
      <c r="B70" s="438"/>
      <c r="C70" s="438"/>
      <c r="D70" s="438"/>
      <c r="E70" s="438"/>
      <c r="F70" s="438"/>
      <c r="G70" s="438"/>
      <c r="H70" s="456"/>
      <c r="I70" s="456" t="s">
        <v>233</v>
      </c>
      <c r="J70" s="466"/>
      <c r="K70" s="456">
        <v>3</v>
      </c>
      <c r="L70" s="456" t="s">
        <v>18</v>
      </c>
      <c r="M70" s="215" t="s">
        <v>18</v>
      </c>
      <c r="N70" s="101" t="s">
        <v>18</v>
      </c>
      <c r="P70" s="213"/>
      <c r="Q70" s="215"/>
      <c r="R70" s="215"/>
      <c r="S70" s="215"/>
    </row>
    <row r="71" spans="1:19" s="49" customFormat="1">
      <c r="A71" s="438"/>
      <c r="B71" s="438"/>
      <c r="C71" s="438"/>
      <c r="D71" s="438"/>
      <c r="E71" s="438"/>
      <c r="F71" s="438"/>
      <c r="G71" s="438"/>
      <c r="H71" s="456"/>
      <c r="I71" s="456" t="s">
        <v>715</v>
      </c>
      <c r="J71" s="466"/>
      <c r="K71" s="456">
        <v>3</v>
      </c>
      <c r="L71" s="456" t="s">
        <v>18</v>
      </c>
      <c r="M71" s="215" t="s">
        <v>18</v>
      </c>
      <c r="N71" s="101" t="s">
        <v>18</v>
      </c>
      <c r="P71" s="213"/>
      <c r="Q71" s="215"/>
      <c r="R71" s="215"/>
      <c r="S71" s="215"/>
    </row>
    <row r="72" spans="1:19" s="49" customFormat="1">
      <c r="A72" s="438"/>
      <c r="B72" s="438"/>
      <c r="C72" s="438"/>
      <c r="D72" s="438"/>
      <c r="E72" s="438"/>
      <c r="F72" s="438"/>
      <c r="G72" s="438"/>
      <c r="H72" s="456"/>
      <c r="I72" s="456" t="s">
        <v>768</v>
      </c>
      <c r="J72" s="441" t="s">
        <v>713</v>
      </c>
      <c r="K72" s="456">
        <v>2</v>
      </c>
      <c r="L72" s="456"/>
      <c r="M72" s="215"/>
      <c r="N72" s="101"/>
      <c r="P72" s="213"/>
      <c r="Q72" s="215"/>
      <c r="R72" s="215"/>
      <c r="S72" s="215"/>
    </row>
    <row r="73" spans="1:19" s="49" customFormat="1">
      <c r="A73" s="438"/>
      <c r="B73" s="438"/>
      <c r="C73" s="438"/>
      <c r="D73" s="438"/>
      <c r="E73" s="438"/>
      <c r="F73" s="438"/>
      <c r="G73" s="438"/>
      <c r="H73" s="456"/>
      <c r="I73" s="456" t="s">
        <v>611</v>
      </c>
      <c r="J73" s="466"/>
      <c r="K73" s="456">
        <v>3</v>
      </c>
      <c r="L73" s="456" t="s">
        <v>18</v>
      </c>
      <c r="M73" s="215" t="s">
        <v>18</v>
      </c>
      <c r="N73" s="101" t="s">
        <v>18</v>
      </c>
      <c r="P73" s="213"/>
      <c r="Q73" s="215"/>
      <c r="R73" s="215"/>
      <c r="S73" s="215"/>
    </row>
    <row r="74" spans="1:19" s="49" customFormat="1">
      <c r="A74" s="438"/>
      <c r="B74" s="438"/>
      <c r="C74" s="438"/>
      <c r="D74" s="438"/>
      <c r="E74" s="438"/>
      <c r="F74" s="438"/>
      <c r="G74" s="438"/>
      <c r="H74" s="456"/>
      <c r="I74" s="456" t="s">
        <v>19</v>
      </c>
      <c r="J74" s="466"/>
      <c r="K74" s="456">
        <v>3</v>
      </c>
      <c r="L74" s="456" t="s">
        <v>18</v>
      </c>
      <c r="M74" s="215" t="s">
        <v>18</v>
      </c>
      <c r="N74" s="101" t="s">
        <v>18</v>
      </c>
      <c r="P74" s="213"/>
      <c r="Q74" s="215"/>
      <c r="R74" s="215"/>
      <c r="S74" s="215"/>
    </row>
    <row r="75" spans="1:19" s="49" customFormat="1">
      <c r="A75" s="438"/>
      <c r="B75" s="438"/>
      <c r="C75" s="438"/>
      <c r="D75" s="438"/>
      <c r="E75" s="438"/>
      <c r="F75" s="438"/>
      <c r="G75" s="438"/>
      <c r="H75" s="456"/>
      <c r="I75" s="456" t="s">
        <v>184</v>
      </c>
      <c r="J75" s="473" t="s">
        <v>186</v>
      </c>
      <c r="K75" s="456">
        <v>2</v>
      </c>
      <c r="L75" s="466" t="s">
        <v>18</v>
      </c>
      <c r="M75" s="192"/>
      <c r="N75" s="227"/>
      <c r="P75" s="213"/>
      <c r="Q75" s="215"/>
      <c r="R75" s="215"/>
      <c r="S75" s="215"/>
    </row>
    <row r="76" spans="1:19" s="49" customFormat="1">
      <c r="A76" s="438"/>
      <c r="B76" s="474"/>
      <c r="C76" s="438"/>
      <c r="D76" s="438"/>
      <c r="E76" s="438"/>
      <c r="F76" s="438"/>
      <c r="G76" s="438"/>
      <c r="H76" s="456"/>
      <c r="I76" s="456" t="s">
        <v>768</v>
      </c>
      <c r="J76" s="466" t="s">
        <v>769</v>
      </c>
      <c r="K76" s="466">
        <v>2</v>
      </c>
      <c r="L76" s="466" t="s">
        <v>18</v>
      </c>
      <c r="M76" s="192"/>
      <c r="N76" s="227"/>
      <c r="P76" s="213"/>
      <c r="Q76" s="215"/>
      <c r="R76" s="215"/>
      <c r="S76" s="215"/>
    </row>
    <row r="77" spans="1:19" s="49" customFormat="1">
      <c r="A77" s="438"/>
      <c r="B77" s="474"/>
      <c r="C77" s="438"/>
      <c r="D77" s="438"/>
      <c r="E77" s="438"/>
      <c r="F77" s="438"/>
      <c r="G77" s="438"/>
      <c r="H77" s="456"/>
      <c r="I77" s="446" t="s">
        <v>800</v>
      </c>
      <c r="J77" s="445" t="s">
        <v>799</v>
      </c>
      <c r="K77" s="456">
        <v>1</v>
      </c>
      <c r="L77" s="456"/>
      <c r="M77" s="215"/>
      <c r="N77" s="101"/>
      <c r="P77" s="213"/>
      <c r="Q77" s="215"/>
    </row>
    <row r="78" spans="1:19" s="49" customFormat="1">
      <c r="A78" s="438"/>
      <c r="B78" s="474"/>
      <c r="C78" s="438"/>
      <c r="D78" s="438"/>
      <c r="E78" s="438"/>
      <c r="F78" s="438"/>
      <c r="G78" s="438"/>
      <c r="H78" s="456"/>
      <c r="I78" s="446" t="s">
        <v>819</v>
      </c>
      <c r="J78" s="467" t="s">
        <v>818</v>
      </c>
      <c r="K78" s="456">
        <v>1</v>
      </c>
      <c r="L78" s="456"/>
      <c r="M78" s="215"/>
      <c r="N78" s="215"/>
      <c r="P78" s="213"/>
      <c r="Q78" s="215"/>
    </row>
    <row r="79" spans="1:19" s="49" customFormat="1">
      <c r="A79" s="438"/>
      <c r="B79" s="474"/>
      <c r="C79" s="438"/>
      <c r="D79" s="438"/>
      <c r="E79" s="438"/>
      <c r="F79" s="438"/>
      <c r="G79" s="438"/>
      <c r="H79" s="456"/>
      <c r="I79" s="446" t="s">
        <v>827</v>
      </c>
      <c r="J79" s="467" t="s">
        <v>826</v>
      </c>
      <c r="K79" s="456">
        <v>1</v>
      </c>
      <c r="L79" s="456"/>
      <c r="M79" s="215"/>
      <c r="N79" s="215"/>
      <c r="P79" s="213"/>
      <c r="Q79" s="215"/>
    </row>
    <row r="80" spans="1:19" s="49" customFormat="1">
      <c r="A80" s="438"/>
      <c r="B80" s="474"/>
      <c r="C80" s="438"/>
      <c r="D80" s="438"/>
      <c r="E80" s="438"/>
      <c r="F80" s="438"/>
      <c r="G80" s="438"/>
      <c r="H80" s="456"/>
      <c r="I80" s="456" t="s">
        <v>768</v>
      </c>
      <c r="J80" s="466"/>
      <c r="K80" s="456">
        <v>2</v>
      </c>
      <c r="L80" s="456"/>
      <c r="M80" s="215"/>
      <c r="N80" s="215"/>
      <c r="P80" s="213"/>
      <c r="Q80" s="215"/>
    </row>
    <row r="81" spans="1:17" s="49" customFormat="1">
      <c r="A81" s="438"/>
      <c r="B81" s="474"/>
      <c r="C81" s="438"/>
      <c r="D81" s="438"/>
      <c r="E81" s="438"/>
      <c r="F81" s="438"/>
      <c r="G81" s="438"/>
      <c r="H81" s="456"/>
      <c r="I81" s="456" t="s">
        <v>867</v>
      </c>
      <c r="J81" s="466"/>
      <c r="K81" s="456">
        <v>1</v>
      </c>
      <c r="L81" s="456"/>
      <c r="M81" s="215"/>
      <c r="N81" s="215"/>
      <c r="P81" s="213"/>
      <c r="Q81" s="215"/>
    </row>
    <row r="82" spans="1:17" s="49" customFormat="1">
      <c r="A82" s="438"/>
      <c r="B82" s="474"/>
      <c r="C82" s="438"/>
      <c r="D82" s="438"/>
      <c r="E82" s="438"/>
      <c r="F82" s="438"/>
      <c r="G82" s="438"/>
      <c r="H82" s="456"/>
      <c r="I82" s="446" t="s">
        <v>872</v>
      </c>
      <c r="J82" s="466"/>
      <c r="K82" s="456">
        <v>1</v>
      </c>
      <c r="L82" s="456"/>
      <c r="M82" s="215"/>
      <c r="N82" s="215"/>
      <c r="P82" s="213"/>
      <c r="Q82" s="215"/>
    </row>
    <row r="83" spans="1:17" s="49" customFormat="1">
      <c r="A83" s="438"/>
      <c r="B83" s="474"/>
      <c r="C83" s="438"/>
      <c r="D83" s="438"/>
      <c r="E83" s="438"/>
      <c r="F83" s="438"/>
      <c r="G83" s="438"/>
      <c r="H83" s="456"/>
      <c r="I83" s="446"/>
      <c r="J83" s="466"/>
      <c r="K83" s="456"/>
      <c r="L83" s="456"/>
      <c r="M83" s="215"/>
      <c r="N83" s="215"/>
      <c r="P83" s="213"/>
      <c r="Q83" s="215"/>
    </row>
    <row r="84" spans="1:17" s="49" customFormat="1">
      <c r="A84" s="438"/>
      <c r="B84" s="474"/>
      <c r="C84" s="438"/>
      <c r="D84" s="438"/>
      <c r="E84" s="438"/>
      <c r="F84" s="438"/>
      <c r="G84" s="438"/>
      <c r="H84" s="456"/>
      <c r="I84" s="456"/>
      <c r="J84" s="466"/>
      <c r="K84" s="456"/>
      <c r="L84" s="456"/>
      <c r="M84" s="215"/>
      <c r="N84" s="215"/>
      <c r="P84" s="213"/>
      <c r="Q84" s="215"/>
    </row>
    <row r="85" spans="1:17" s="49" customFormat="1">
      <c r="A85" s="438"/>
      <c r="B85" s="474"/>
      <c r="C85" s="438"/>
      <c r="D85" s="438"/>
      <c r="E85" s="438"/>
      <c r="F85" s="438"/>
      <c r="G85" s="438"/>
      <c r="H85" s="456"/>
      <c r="I85" s="446"/>
      <c r="J85" s="466"/>
      <c r="K85" s="456"/>
      <c r="L85" s="456"/>
      <c r="M85" s="215"/>
      <c r="N85" s="215"/>
      <c r="P85" s="213"/>
      <c r="Q85" s="215"/>
    </row>
    <row r="86" spans="1:17" s="49" customFormat="1">
      <c r="A86" s="438"/>
      <c r="B86" s="474"/>
      <c r="C86" s="438"/>
      <c r="D86" s="438"/>
      <c r="E86" s="438"/>
      <c r="F86" s="438"/>
      <c r="G86" s="438"/>
      <c r="H86" s="456"/>
      <c r="I86" s="456"/>
      <c r="J86" s="466"/>
      <c r="K86" s="456"/>
      <c r="L86" s="456"/>
      <c r="M86" s="215"/>
      <c r="N86" s="215"/>
      <c r="P86" s="213"/>
      <c r="Q86" s="215"/>
    </row>
    <row r="87" spans="1:17" s="49" customFormat="1">
      <c r="A87" s="438"/>
      <c r="B87" s="474"/>
      <c r="C87" s="438"/>
      <c r="D87" s="438"/>
      <c r="E87" s="438"/>
      <c r="F87" s="438"/>
      <c r="G87" s="438"/>
      <c r="H87" s="456"/>
      <c r="I87" s="456"/>
      <c r="J87" s="466"/>
      <c r="K87" s="456"/>
      <c r="L87" s="456"/>
      <c r="M87" s="215"/>
      <c r="N87" s="215"/>
      <c r="P87" s="213"/>
      <c r="Q87" s="215"/>
    </row>
    <row r="88" spans="1:17" s="49" customFormat="1">
      <c r="A88" s="438"/>
      <c r="B88" s="474"/>
      <c r="C88" s="438"/>
      <c r="D88" s="438"/>
      <c r="E88" s="438"/>
      <c r="F88" s="438"/>
      <c r="G88" s="438"/>
      <c r="H88" s="456"/>
      <c r="I88" s="456"/>
      <c r="J88" s="466"/>
      <c r="K88" s="456"/>
      <c r="L88" s="456"/>
      <c r="M88" s="215"/>
      <c r="N88" s="215"/>
      <c r="P88" s="213"/>
      <c r="Q88" s="215"/>
    </row>
    <row r="89" spans="1:17" s="49" customFormat="1">
      <c r="A89" s="438"/>
      <c r="B89" s="474"/>
      <c r="C89" s="438"/>
      <c r="D89" s="438"/>
      <c r="E89" s="438"/>
      <c r="F89" s="438"/>
      <c r="G89" s="438"/>
      <c r="H89" s="456"/>
      <c r="I89" s="456"/>
      <c r="J89" s="466"/>
      <c r="K89" s="456"/>
      <c r="L89" s="456"/>
      <c r="M89" s="215"/>
      <c r="N89" s="215"/>
      <c r="P89" s="213"/>
      <c r="Q89" s="215"/>
    </row>
    <row r="90" spans="1:17" s="49" customFormat="1">
      <c r="A90" s="438"/>
      <c r="B90" s="474"/>
      <c r="C90" s="438"/>
      <c r="D90" s="438"/>
      <c r="E90" s="438"/>
      <c r="F90" s="438"/>
      <c r="G90" s="438"/>
      <c r="H90" s="456"/>
      <c r="I90" s="456"/>
      <c r="J90" s="466"/>
      <c r="K90" s="456"/>
      <c r="L90" s="456"/>
      <c r="M90" s="215"/>
      <c r="N90" s="215"/>
      <c r="P90" s="213"/>
      <c r="Q90" s="215"/>
    </row>
    <row r="91" spans="1:17" s="49" customFormat="1">
      <c r="A91" s="438"/>
      <c r="B91" s="474"/>
      <c r="C91" s="438"/>
      <c r="D91" s="438"/>
      <c r="E91" s="438"/>
      <c r="F91" s="438"/>
      <c r="G91" s="438"/>
      <c r="H91" s="456"/>
      <c r="I91" s="456"/>
      <c r="J91" s="466"/>
      <c r="K91" s="456"/>
      <c r="L91" s="456"/>
      <c r="M91" s="215"/>
      <c r="N91" s="215"/>
      <c r="P91" s="213"/>
      <c r="Q91" s="215"/>
    </row>
    <row r="92" spans="1:17" s="49" customFormat="1">
      <c r="A92" s="438"/>
      <c r="B92" s="474"/>
      <c r="C92" s="438"/>
      <c r="D92" s="438"/>
      <c r="E92" s="438"/>
      <c r="F92" s="438"/>
      <c r="G92" s="438"/>
      <c r="H92" s="456"/>
      <c r="I92" s="456"/>
      <c r="J92" s="466"/>
      <c r="K92" s="456"/>
      <c r="L92" s="456"/>
      <c r="M92" s="215"/>
      <c r="N92" s="215"/>
      <c r="P92" s="213"/>
      <c r="Q92" s="215"/>
    </row>
    <row r="93" spans="1:17" s="49" customFormat="1">
      <c r="A93" s="438"/>
      <c r="B93" s="474"/>
      <c r="C93" s="438"/>
      <c r="D93" s="438"/>
      <c r="E93" s="438"/>
      <c r="F93" s="438"/>
      <c r="G93" s="438"/>
      <c r="H93" s="456"/>
      <c r="I93" s="456"/>
      <c r="J93" s="466"/>
      <c r="K93" s="456"/>
      <c r="L93" s="456"/>
      <c r="M93" s="215"/>
      <c r="N93" s="215"/>
      <c r="P93" s="213"/>
      <c r="Q93" s="215"/>
    </row>
  </sheetData>
  <mergeCells count="5">
    <mergeCell ref="D33:G56"/>
    <mergeCell ref="D32:G32"/>
    <mergeCell ref="B33:B56"/>
    <mergeCell ref="I32:L32"/>
    <mergeCell ref="I33:L53"/>
  </mergeCells>
  <phoneticPr fontId="50" type="noConversion"/>
  <conditionalFormatting sqref="C22">
    <cfRule type="timePeriod" dxfId="331" priority="18" timePeriod="today">
      <formula>FLOOR(C22,1)=TODAY()</formula>
    </cfRule>
  </conditionalFormatting>
  <conditionalFormatting sqref="C20">
    <cfRule type="timePeriod" dxfId="330" priority="17" timePeriod="today">
      <formula>FLOOR(C20,1)=TODAY()</formula>
    </cfRule>
  </conditionalFormatting>
  <conditionalFormatting sqref="J62">
    <cfRule type="timePeriod" dxfId="329" priority="16" timePeriod="today">
      <formula>FLOOR(J62,1)=TODAY()</formula>
    </cfRule>
  </conditionalFormatting>
  <conditionalFormatting sqref="J6">
    <cfRule type="timePeriod" dxfId="328" priority="14" timePeriod="today">
      <formula>FLOOR(J6,1)=TODAY()</formula>
    </cfRule>
  </conditionalFormatting>
  <conditionalFormatting sqref="J18">
    <cfRule type="timePeriod" dxfId="327" priority="9" timePeriod="today">
      <formula>FLOOR(J18,1)=TODAY()</formula>
    </cfRule>
  </conditionalFormatting>
  <conditionalFormatting sqref="L20">
    <cfRule type="timePeriod" dxfId="326" priority="8" timePeriod="today">
      <formula>FLOOR(L20,1)=TODAY()</formula>
    </cfRule>
  </conditionalFormatting>
  <conditionalFormatting sqref="J7:J16">
    <cfRule type="timePeriod" dxfId="325" priority="11" timePeriod="today">
      <formula>FLOOR(J7,1)=TODAY()</formula>
    </cfRule>
  </conditionalFormatting>
  <conditionalFormatting sqref="J17">
    <cfRule type="timePeriod" dxfId="324" priority="10" timePeriod="today">
      <formula>FLOOR(J17,1)=TODAY()</formula>
    </cfRule>
  </conditionalFormatting>
  <conditionalFormatting sqref="J75">
    <cfRule type="timePeriod" dxfId="323" priority="7" timePeriod="today">
      <formula>FLOOR(J75,1)=TODAY()</formula>
    </cfRule>
  </conditionalFormatting>
  <hyperlinks>
    <hyperlink ref="J61" r:id="rId1"/>
    <hyperlink ref="J69" r:id="rId2"/>
    <hyperlink ref="J72" r:id="rId3" display="mailto:sales03@gdght.com"/>
    <hyperlink ref="J68" r:id="rId4"/>
    <hyperlink ref="J5" r:id="rId5"/>
    <hyperlink ref="J13" r:id="rId6"/>
    <hyperlink ref="J16" r:id="rId7" display="mailto:sales03@gdght.com"/>
    <hyperlink ref="J12" r:id="rId8"/>
    <hyperlink ref="J17" r:id="rId9"/>
    <hyperlink ref="J18" r:id="rId10"/>
    <hyperlink ref="J19" r:id="rId11"/>
    <hyperlink ref="J75" r:id="rId12"/>
    <hyperlink ref="J24" r:id="rId13"/>
    <hyperlink ref="D3" r:id="rId14"/>
  </hyperlinks>
  <pageMargins left="0.7" right="0.7" top="0.75" bottom="0.75" header="0.3" footer="0.3"/>
  <pageSetup paperSize="9" orientation="portrait" r:id="rId15"/>
  <legacyDrawing r:id="rId16"/>
</worksheet>
</file>

<file path=xl/worksheets/sheet3.xml><?xml version="1.0" encoding="utf-8"?>
<worksheet xmlns="http://schemas.openxmlformats.org/spreadsheetml/2006/main" xmlns:r="http://schemas.openxmlformats.org/officeDocument/2006/relationships">
  <sheetPr codeName="Лист1"/>
  <dimension ref="A1:AO70"/>
  <sheetViews>
    <sheetView topLeftCell="A61" zoomScale="70" zoomScaleNormal="70" workbookViewId="0">
      <selection activeCell="D71" sqref="D71:AM73"/>
    </sheetView>
  </sheetViews>
  <sheetFormatPr defaultRowHeight="13.5"/>
  <cols>
    <col min="1" max="5" width="13.75" customWidth="1"/>
    <col min="6" max="6" width="13.75" hidden="1" customWidth="1"/>
    <col min="7" max="8" width="13.75" customWidth="1"/>
    <col min="9" max="10" width="13.75" hidden="1" customWidth="1"/>
    <col min="11" max="40" width="13.75" customWidth="1"/>
  </cols>
  <sheetData>
    <row r="1" spans="1:41" ht="108">
      <c r="A1" s="3" t="s">
        <v>0</v>
      </c>
      <c r="B1" s="3" t="s">
        <v>1</v>
      </c>
      <c r="C1" s="3" t="s">
        <v>137</v>
      </c>
      <c r="D1" s="48" t="s">
        <v>149</v>
      </c>
      <c r="E1" s="3" t="s">
        <v>125</v>
      </c>
      <c r="F1" s="3" t="s">
        <v>154</v>
      </c>
      <c r="G1" s="3" t="s">
        <v>3</v>
      </c>
      <c r="H1" s="116" t="s">
        <v>2</v>
      </c>
      <c r="I1" s="3" t="s">
        <v>5</v>
      </c>
      <c r="J1" s="3" t="s">
        <v>6</v>
      </c>
      <c r="K1" s="3" t="s">
        <v>61</v>
      </c>
      <c r="L1" s="52" t="s">
        <v>7</v>
      </c>
      <c r="M1" s="35" t="s">
        <v>9</v>
      </c>
      <c r="N1" s="52" t="s">
        <v>8</v>
      </c>
      <c r="O1" s="55" t="s">
        <v>158</v>
      </c>
      <c r="P1" s="55" t="s">
        <v>44</v>
      </c>
      <c r="Q1" s="52" t="s">
        <v>161</v>
      </c>
      <c r="R1" s="52" t="s">
        <v>12</v>
      </c>
      <c r="S1" s="35" t="s">
        <v>506</v>
      </c>
      <c r="T1" s="35"/>
      <c r="U1" s="35" t="s">
        <v>42</v>
      </c>
      <c r="V1" s="52" t="s">
        <v>164</v>
      </c>
      <c r="W1" s="35" t="s">
        <v>43</v>
      </c>
      <c r="X1" s="35" t="s">
        <v>13</v>
      </c>
      <c r="Y1" s="35" t="s">
        <v>14</v>
      </c>
      <c r="Z1" s="35" t="s">
        <v>100</v>
      </c>
      <c r="AA1" s="35" t="s">
        <v>110</v>
      </c>
      <c r="AB1" s="74" t="s">
        <v>10</v>
      </c>
      <c r="AC1" s="72" t="s">
        <v>165</v>
      </c>
      <c r="AD1" s="19" t="s">
        <v>66</v>
      </c>
      <c r="AE1" s="11" t="s">
        <v>67</v>
      </c>
      <c r="AF1" s="1"/>
      <c r="AG1" s="73" t="s">
        <v>45</v>
      </c>
      <c r="AH1" s="73" t="s">
        <v>99</v>
      </c>
      <c r="AI1" s="73" t="s">
        <v>101</v>
      </c>
      <c r="AJ1" s="11" t="s">
        <v>167</v>
      </c>
      <c r="AK1" s="11"/>
    </row>
    <row r="2" spans="1:41" ht="33" customHeight="1">
      <c r="A2" s="28" t="s">
        <v>97</v>
      </c>
      <c r="B2" s="13" t="s">
        <v>17</v>
      </c>
      <c r="C2" s="13" t="s">
        <v>139</v>
      </c>
      <c r="D2" s="13" t="s">
        <v>116</v>
      </c>
      <c r="E2" s="43" t="s">
        <v>127</v>
      </c>
      <c r="F2" s="43"/>
      <c r="G2" s="13" t="s">
        <v>4</v>
      </c>
      <c r="H2" s="117">
        <v>52</v>
      </c>
      <c r="I2" s="13" t="s">
        <v>11</v>
      </c>
      <c r="J2" s="13" t="s">
        <v>11</v>
      </c>
      <c r="K2" s="13">
        <v>18</v>
      </c>
      <c r="L2" s="14">
        <v>42913</v>
      </c>
      <c r="M2" s="30">
        <v>42983</v>
      </c>
      <c r="N2" s="53" t="s">
        <v>208</v>
      </c>
      <c r="O2" s="56">
        <v>35</v>
      </c>
      <c r="P2" s="54">
        <f t="shared" ref="P2:P10" si="0">M2-O2</f>
        <v>42948</v>
      </c>
      <c r="Q2" s="80" t="str">
        <f ca="1">IF(P2&gt;=TODAY()-5,IF(P2&lt;TODAY()+6,"Пора отправлять","Еще рано"),"Уже не актуально")</f>
        <v>Уже не актуально</v>
      </c>
      <c r="R2" s="62" t="s">
        <v>11</v>
      </c>
      <c r="S2" s="14" t="s">
        <v>196</v>
      </c>
      <c r="T2" s="14"/>
      <c r="U2" s="21">
        <v>42982</v>
      </c>
      <c r="V2" s="76" t="str">
        <f ca="1">IF(U2&gt;TODAY(),IF(U2&lt;TODAY()+17,"Пора отправлять","Еще рано"),"Уже не актуально")</f>
        <v>Уже не актуально</v>
      </c>
      <c r="W2" s="21">
        <v>42983</v>
      </c>
      <c r="X2" s="84" t="s">
        <v>177</v>
      </c>
      <c r="Y2" s="14" t="s">
        <v>177</v>
      </c>
      <c r="Z2" s="53" t="s">
        <v>228</v>
      </c>
      <c r="AA2" s="53" t="s">
        <v>228</v>
      </c>
      <c r="AB2" s="64">
        <v>42990</v>
      </c>
      <c r="AC2" s="76" t="str">
        <f ca="1">IF(AB2&lt;TODAY()-5,IF(AB2="","Еще рано","Уже не актуально"),IF(AB2&gt;TODAY()-2,"Еще рано","Пора отправлять"))</f>
        <v>Уже не актуально</v>
      </c>
      <c r="AD2" s="20">
        <f t="shared" ref="AD2:AD10" si="1">AB2-M2</f>
        <v>7</v>
      </c>
      <c r="AE2" s="17" t="s">
        <v>52</v>
      </c>
      <c r="AF2" s="162"/>
      <c r="AG2" s="32"/>
      <c r="AH2" s="12"/>
      <c r="AI2" s="2"/>
      <c r="AJ2" s="2"/>
      <c r="AK2" s="42"/>
      <c r="AL2" s="42"/>
      <c r="AM2" s="47"/>
      <c r="AN2" s="47"/>
      <c r="AO2" s="47"/>
    </row>
    <row r="3" spans="1:41" ht="33" customHeight="1">
      <c r="A3" s="28" t="s">
        <v>97</v>
      </c>
      <c r="B3" s="13" t="s">
        <v>17</v>
      </c>
      <c r="C3" s="13" t="s">
        <v>139</v>
      </c>
      <c r="D3" s="13" t="s">
        <v>116</v>
      </c>
      <c r="E3" s="43" t="s">
        <v>127</v>
      </c>
      <c r="F3" s="43"/>
      <c r="G3" s="13" t="s">
        <v>4</v>
      </c>
      <c r="H3" s="117">
        <v>53</v>
      </c>
      <c r="I3" s="13" t="s">
        <v>11</v>
      </c>
      <c r="J3" s="13" t="s">
        <v>11</v>
      </c>
      <c r="K3" s="13">
        <v>52</v>
      </c>
      <c r="L3" s="14">
        <v>42956</v>
      </c>
      <c r="M3" s="30">
        <v>42992</v>
      </c>
      <c r="N3" s="14">
        <v>42957</v>
      </c>
      <c r="O3" s="56">
        <v>35</v>
      </c>
      <c r="P3" s="54">
        <f t="shared" si="0"/>
        <v>42957</v>
      </c>
      <c r="Q3" s="80" t="str">
        <f ca="1">IF(P3&gt;=TODAY()-5,IF(P3&lt;TODAY()+6,"Пора отправлять","Еще рано"),"Уже не актуально")</f>
        <v>Уже не актуально</v>
      </c>
      <c r="R3" s="62" t="s">
        <v>11</v>
      </c>
      <c r="S3" s="14"/>
      <c r="T3" s="14"/>
      <c r="U3" s="21">
        <v>43006</v>
      </c>
      <c r="V3" s="76" t="str">
        <f ca="1">IF(U3&gt;TODAY(),IF(U3&lt;TODAY()+17,"Пора отправлять","Еще рано"),"Уже не актуально")</f>
        <v>Уже не актуально</v>
      </c>
      <c r="W3" s="21">
        <v>43003</v>
      </c>
      <c r="X3" s="84" t="s">
        <v>177</v>
      </c>
      <c r="Y3" s="14" t="s">
        <v>177</v>
      </c>
      <c r="Z3" s="53" t="s">
        <v>111</v>
      </c>
      <c r="AA3" s="53" t="s">
        <v>111</v>
      </c>
      <c r="AB3" s="64">
        <v>43006</v>
      </c>
      <c r="AC3" s="76" t="str">
        <f ca="1">IF(AB3&lt;TODAY()-5,IF(AB3="","Еще рано","Уже не актуально"),IF(AB3&gt;TODAY()-2,"Еще рано","Пора отправлять"))</f>
        <v>Уже не актуально</v>
      </c>
      <c r="AD3" s="20">
        <f t="shared" si="1"/>
        <v>14</v>
      </c>
      <c r="AE3" s="162" t="s">
        <v>70</v>
      </c>
      <c r="AF3" s="162"/>
      <c r="AG3" s="32"/>
      <c r="AH3" s="12"/>
      <c r="AI3" s="2"/>
      <c r="AJ3" s="2"/>
      <c r="AK3" s="42"/>
      <c r="AL3" s="40"/>
      <c r="AM3" s="2"/>
      <c r="AN3" s="2"/>
      <c r="AO3" s="2"/>
    </row>
    <row r="4" spans="1:41" ht="33" customHeight="1">
      <c r="A4" s="28" t="s">
        <v>97</v>
      </c>
      <c r="B4" s="13" t="s">
        <v>17</v>
      </c>
      <c r="C4" s="13" t="s">
        <v>139</v>
      </c>
      <c r="D4" s="13" t="s">
        <v>116</v>
      </c>
      <c r="E4" s="43" t="s">
        <v>127</v>
      </c>
      <c r="F4" s="43"/>
      <c r="G4" s="13" t="s">
        <v>4</v>
      </c>
      <c r="H4" s="117">
        <v>54</v>
      </c>
      <c r="I4" s="13" t="s">
        <v>11</v>
      </c>
      <c r="J4" s="13" t="s">
        <v>11</v>
      </c>
      <c r="K4" s="13">
        <v>66</v>
      </c>
      <c r="L4" s="14">
        <v>42976</v>
      </c>
      <c r="M4" s="30">
        <f>N4+90</f>
        <v>43074</v>
      </c>
      <c r="N4" s="14">
        <v>42984</v>
      </c>
      <c r="O4" s="56">
        <v>35</v>
      </c>
      <c r="P4" s="54">
        <f t="shared" si="0"/>
        <v>43039</v>
      </c>
      <c r="Q4" s="80" t="str">
        <f ca="1">IF(P4&gt;=TODAY()-5,IF(P4&lt;TODAY()+6,"Пора отправлять","Еще рано"),"Уже не актуально")</f>
        <v>Уже не актуально</v>
      </c>
      <c r="R4" s="62" t="s">
        <v>11</v>
      </c>
      <c r="S4" s="14"/>
      <c r="T4" s="14"/>
      <c r="U4" s="21">
        <v>43038</v>
      </c>
      <c r="V4" s="76" t="str">
        <f ca="1">IF(U4&gt;TODAY(),IF(U4&lt;TODAY()+17,"Пора отправлять","Еще рано"),"Уже не актуально")</f>
        <v>Уже не актуально</v>
      </c>
      <c r="W4" s="21">
        <v>43038</v>
      </c>
      <c r="X4" s="84" t="s">
        <v>177</v>
      </c>
      <c r="Y4" s="14" t="s">
        <v>177</v>
      </c>
      <c r="Z4" s="14">
        <v>43034</v>
      </c>
      <c r="AA4" s="53" t="s">
        <v>111</v>
      </c>
      <c r="AB4" s="64">
        <v>43045</v>
      </c>
      <c r="AC4" s="76" t="str">
        <f ca="1">IF(AB4&lt;TODAY()-5,IF(AB4="","Еще рано","Уже не актуально"),IF(AB4&gt;TODAY()-2,"Еще рано","Пора отправлять"))</f>
        <v>Уже не актуально</v>
      </c>
      <c r="AD4" s="20">
        <f t="shared" si="1"/>
        <v>-29</v>
      </c>
      <c r="AE4" s="162"/>
      <c r="AF4" s="162"/>
      <c r="AG4" s="32"/>
      <c r="AH4" s="12"/>
      <c r="AI4" s="2"/>
      <c r="AJ4" s="2"/>
      <c r="AK4" s="42"/>
      <c r="AL4" s="40"/>
      <c r="AM4" s="2"/>
      <c r="AN4" s="2"/>
      <c r="AO4" s="2"/>
    </row>
    <row r="5" spans="1:41" ht="33" customHeight="1">
      <c r="A5" s="28" t="s">
        <v>97</v>
      </c>
      <c r="B5" s="13" t="s">
        <v>17</v>
      </c>
      <c r="C5" s="13" t="s">
        <v>139</v>
      </c>
      <c r="D5" s="13" t="s">
        <v>116</v>
      </c>
      <c r="E5" s="43" t="s">
        <v>127</v>
      </c>
      <c r="F5" s="43"/>
      <c r="G5" s="13" t="s">
        <v>4</v>
      </c>
      <c r="H5" s="117">
        <v>55</v>
      </c>
      <c r="I5" s="13"/>
      <c r="J5" s="13"/>
      <c r="K5" s="13" t="s">
        <v>162</v>
      </c>
      <c r="L5" s="14">
        <v>43007</v>
      </c>
      <c r="M5" s="30">
        <f>L5+90</f>
        <v>43097</v>
      </c>
      <c r="N5" s="14">
        <v>43012</v>
      </c>
      <c r="O5" s="56">
        <v>35</v>
      </c>
      <c r="P5" s="54">
        <f t="shared" si="0"/>
        <v>43062</v>
      </c>
      <c r="Q5" s="80" t="s">
        <v>163</v>
      </c>
      <c r="R5" s="62" t="s">
        <v>11</v>
      </c>
      <c r="S5" s="14"/>
      <c r="T5" s="14"/>
      <c r="U5" s="21">
        <v>43069</v>
      </c>
      <c r="V5" s="76" t="s">
        <v>163</v>
      </c>
      <c r="W5" s="21">
        <v>43070</v>
      </c>
      <c r="X5" s="84">
        <v>43071</v>
      </c>
      <c r="Y5" s="14">
        <v>43073</v>
      </c>
      <c r="Z5" s="14">
        <v>43054</v>
      </c>
      <c r="AA5" s="14">
        <v>43066</v>
      </c>
      <c r="AB5" s="14">
        <v>43075</v>
      </c>
      <c r="AC5" s="76" t="s">
        <v>194</v>
      </c>
      <c r="AD5" s="20">
        <f t="shared" si="1"/>
        <v>-22</v>
      </c>
      <c r="AE5" s="162"/>
      <c r="AF5" s="162"/>
      <c r="AG5" s="32"/>
      <c r="AH5" s="12"/>
      <c r="AI5" s="2"/>
      <c r="AJ5" s="2"/>
      <c r="AK5" s="42"/>
      <c r="AL5" s="42"/>
      <c r="AM5" s="2"/>
      <c r="AN5" s="2"/>
      <c r="AO5" s="2"/>
    </row>
    <row r="6" spans="1:41" ht="33" customHeight="1">
      <c r="A6" s="28" t="s">
        <v>97</v>
      </c>
      <c r="B6" s="28" t="s">
        <v>17</v>
      </c>
      <c r="C6" s="43" t="s">
        <v>139</v>
      </c>
      <c r="D6" s="43" t="s">
        <v>116</v>
      </c>
      <c r="E6" s="43" t="s">
        <v>127</v>
      </c>
      <c r="F6" s="43"/>
      <c r="G6" s="43" t="s">
        <v>4</v>
      </c>
      <c r="H6" s="118">
        <v>56</v>
      </c>
      <c r="I6" s="43"/>
      <c r="J6" s="43"/>
      <c r="K6" s="43">
        <v>70</v>
      </c>
      <c r="L6" s="14">
        <v>43046</v>
      </c>
      <c r="M6" s="14">
        <f>L6+90</f>
        <v>43136</v>
      </c>
      <c r="N6" s="14" t="s">
        <v>217</v>
      </c>
      <c r="O6" s="56">
        <v>35</v>
      </c>
      <c r="P6" s="14">
        <f t="shared" si="0"/>
        <v>43101</v>
      </c>
      <c r="Q6" s="26" t="s">
        <v>203</v>
      </c>
      <c r="R6" s="14" t="s">
        <v>112</v>
      </c>
      <c r="S6" s="14"/>
      <c r="T6" s="14"/>
      <c r="U6" s="14">
        <v>43109</v>
      </c>
      <c r="V6" s="76" t="s">
        <v>207</v>
      </c>
      <c r="W6" s="14">
        <v>43109</v>
      </c>
      <c r="X6" s="14">
        <v>43126</v>
      </c>
      <c r="Y6" s="14">
        <v>43126</v>
      </c>
      <c r="Z6" s="14">
        <v>43098</v>
      </c>
      <c r="AA6" s="53" t="s">
        <v>111</v>
      </c>
      <c r="AB6" s="14">
        <v>43134</v>
      </c>
      <c r="AC6" s="76" t="s">
        <v>230</v>
      </c>
      <c r="AD6" s="20">
        <f t="shared" si="1"/>
        <v>-2</v>
      </c>
      <c r="AE6" s="162"/>
      <c r="AF6" s="162"/>
      <c r="AG6" s="32"/>
      <c r="AH6" s="12"/>
      <c r="AI6" s="2"/>
      <c r="AJ6" s="2"/>
      <c r="AK6" s="42"/>
      <c r="AL6" s="42"/>
      <c r="AM6" s="2"/>
      <c r="AN6" s="2"/>
      <c r="AO6" s="2"/>
    </row>
    <row r="7" spans="1:41" ht="33" customHeight="1">
      <c r="A7" s="28" t="s">
        <v>301</v>
      </c>
      <c r="B7" s="13" t="s">
        <v>17</v>
      </c>
      <c r="C7" s="13" t="s">
        <v>252</v>
      </c>
      <c r="D7" s="89" t="s">
        <v>253</v>
      </c>
      <c r="E7" s="43" t="s">
        <v>127</v>
      </c>
      <c r="F7" s="43"/>
      <c r="G7" s="13" t="s">
        <v>4</v>
      </c>
      <c r="H7" s="117">
        <v>57</v>
      </c>
      <c r="I7" s="13"/>
      <c r="J7" s="13"/>
      <c r="K7" s="13">
        <v>60</v>
      </c>
      <c r="L7" s="14">
        <v>43070</v>
      </c>
      <c r="M7" s="30">
        <f>L7+90</f>
        <v>43160</v>
      </c>
      <c r="N7" s="105">
        <v>43163</v>
      </c>
      <c r="O7" s="56">
        <v>35</v>
      </c>
      <c r="P7" s="54">
        <f t="shared" si="0"/>
        <v>43125</v>
      </c>
      <c r="Q7" s="80" t="s">
        <v>219</v>
      </c>
      <c r="R7" s="100" t="s">
        <v>112</v>
      </c>
      <c r="S7" s="29" t="s">
        <v>196</v>
      </c>
      <c r="T7" s="14"/>
      <c r="U7" s="14">
        <v>43196</v>
      </c>
      <c r="V7" s="76" t="s">
        <v>251</v>
      </c>
      <c r="W7" s="29">
        <v>43198</v>
      </c>
      <c r="X7" s="131">
        <v>43203</v>
      </c>
      <c r="Y7" s="136">
        <v>43230</v>
      </c>
      <c r="Z7" s="29">
        <v>43182</v>
      </c>
      <c r="AA7" s="29">
        <v>43187</v>
      </c>
      <c r="AB7" s="65">
        <v>43266</v>
      </c>
      <c r="AC7" s="76" t="str">
        <f ca="1">IF(AB7&lt;TODAY()-5,IF(AB7="","Еще рано","Уже не актуально"),IF(AB7&gt;TODAY()-2,"Еще рано","Пора отправлять"))</f>
        <v>Уже не актуально</v>
      </c>
      <c r="AD7" s="20">
        <f t="shared" si="1"/>
        <v>106</v>
      </c>
      <c r="AE7" s="162" t="s">
        <v>281</v>
      </c>
      <c r="AF7" s="114" t="s">
        <v>303</v>
      </c>
      <c r="AG7" s="32"/>
      <c r="AH7" s="12"/>
      <c r="AI7" s="2"/>
      <c r="AJ7" s="2"/>
      <c r="AK7" s="42"/>
      <c r="AL7" s="42"/>
      <c r="AM7" s="2"/>
      <c r="AN7" s="2"/>
      <c r="AO7" s="2"/>
    </row>
    <row r="8" spans="1:41" ht="33" customHeight="1">
      <c r="A8" s="28" t="s">
        <v>301</v>
      </c>
      <c r="B8" s="13" t="s">
        <v>17</v>
      </c>
      <c r="C8" s="13" t="s">
        <v>252</v>
      </c>
      <c r="D8" s="89" t="s">
        <v>253</v>
      </c>
      <c r="E8" s="43" t="s">
        <v>127</v>
      </c>
      <c r="F8" s="43"/>
      <c r="G8" s="13" t="s">
        <v>433</v>
      </c>
      <c r="H8" s="117">
        <v>58</v>
      </c>
      <c r="I8" s="174"/>
      <c r="J8" s="174"/>
      <c r="K8" s="13">
        <v>60</v>
      </c>
      <c r="L8" s="175">
        <v>43385</v>
      </c>
      <c r="M8" s="30">
        <v>43483</v>
      </c>
      <c r="N8" s="53"/>
      <c r="O8" s="56">
        <v>35</v>
      </c>
      <c r="P8" s="54">
        <f t="shared" si="0"/>
        <v>43448</v>
      </c>
      <c r="Q8" s="180" t="str">
        <f ca="1">IF(P8&gt;=TODAY()-5,IF(P8&lt;TODAY()+6,"Пора отправлять","Еще рано"),"Уже не актуально")</f>
        <v>Уже не актуально</v>
      </c>
      <c r="R8" s="63" t="s">
        <v>11</v>
      </c>
      <c r="S8" s="175"/>
      <c r="T8" s="175"/>
      <c r="U8" s="175">
        <f>M8</f>
        <v>43483</v>
      </c>
      <c r="V8" s="179" t="s">
        <v>498</v>
      </c>
      <c r="W8" s="51">
        <v>43483</v>
      </c>
      <c r="X8" s="131">
        <v>43483</v>
      </c>
      <c r="Y8" s="131">
        <v>43483</v>
      </c>
      <c r="Z8" s="136" t="s">
        <v>228</v>
      </c>
      <c r="AA8" s="136" t="s">
        <v>228</v>
      </c>
      <c r="AB8" s="175">
        <v>43487</v>
      </c>
      <c r="AC8" s="76" t="str">
        <f ca="1">IF(AB8&lt;TODAY()-5,IF(AB8="","Еще рано","Уже не актуально"),IF(AB8&gt;TODAY()-2,"Еще рано","Пора отправлять"))</f>
        <v>Уже не актуально</v>
      </c>
      <c r="AD8" s="20">
        <f t="shared" si="1"/>
        <v>4</v>
      </c>
      <c r="AE8" s="172" t="s">
        <v>492</v>
      </c>
      <c r="AF8" s="42" t="s">
        <v>461</v>
      </c>
      <c r="AG8" s="32"/>
      <c r="AH8" s="12"/>
      <c r="AI8" s="2"/>
      <c r="AJ8" s="2"/>
      <c r="AK8" s="42"/>
      <c r="AL8" s="42"/>
      <c r="AM8" s="2"/>
      <c r="AN8" s="2"/>
      <c r="AO8" s="2"/>
    </row>
    <row r="9" spans="1:41" ht="33" customHeight="1">
      <c r="A9" s="28" t="s">
        <v>301</v>
      </c>
      <c r="B9" s="13" t="s">
        <v>17</v>
      </c>
      <c r="C9" s="13" t="s">
        <v>252</v>
      </c>
      <c r="D9" s="89" t="s">
        <v>253</v>
      </c>
      <c r="E9" s="43" t="s">
        <v>127</v>
      </c>
      <c r="F9" s="43"/>
      <c r="G9" s="106" t="s">
        <v>433</v>
      </c>
      <c r="H9" s="117" t="s">
        <v>503</v>
      </c>
      <c r="I9" s="174"/>
      <c r="J9" s="174"/>
      <c r="K9" s="13">
        <f>60</f>
        <v>60</v>
      </c>
      <c r="L9" s="175">
        <v>43463</v>
      </c>
      <c r="M9" s="30">
        <v>43524</v>
      </c>
      <c r="N9" s="53">
        <v>43490</v>
      </c>
      <c r="O9" s="56">
        <f>O8</f>
        <v>35</v>
      </c>
      <c r="P9" s="54">
        <f t="shared" si="0"/>
        <v>43489</v>
      </c>
      <c r="Q9" s="180" t="str">
        <f ca="1">IF(P9&gt;=TODAY()-5,IF(P9&lt;TODAY()+6,"Пора отправлять","Еще рано"),"Уже не актуально")</f>
        <v>Уже не актуально</v>
      </c>
      <c r="R9" s="63" t="s">
        <v>11</v>
      </c>
      <c r="S9" s="175"/>
      <c r="T9" s="175"/>
      <c r="U9" s="175">
        <v>43549</v>
      </c>
      <c r="V9" s="76" t="str">
        <f ca="1">IF(U9&gt;TODAY(),IF(U9&lt;TODAY()+17,"Пора отправлять","Еще рано"),"Уже не актуально")</f>
        <v>Уже не актуально</v>
      </c>
      <c r="W9" s="51"/>
      <c r="X9" s="131"/>
      <c r="Y9" s="177"/>
      <c r="Z9" s="51"/>
      <c r="AA9" s="136" t="str">
        <f>IF(Z9="","Рано","когда?")</f>
        <v>Рано</v>
      </c>
      <c r="AB9" s="178"/>
      <c r="AC9" s="76" t="str">
        <f ca="1">IF(AB9&lt;TODAY()-5,IF(AB9="","Еще рано","Уже не актуально"),IF(AB9&gt;TODAY()-2,"Еще рано","Пора отправлять"))</f>
        <v>Еще рано</v>
      </c>
      <c r="AD9" s="20">
        <f t="shared" si="1"/>
        <v>-43524</v>
      </c>
      <c r="AE9" s="189"/>
      <c r="AF9" s="42" t="s">
        <v>504</v>
      </c>
      <c r="AG9" s="32"/>
      <c r="AH9" s="12"/>
      <c r="AI9" s="2"/>
      <c r="AJ9" s="2"/>
      <c r="AK9" s="42"/>
      <c r="AL9" s="42"/>
      <c r="AM9" s="2"/>
      <c r="AN9" s="2"/>
      <c r="AO9" s="2"/>
    </row>
    <row r="10" spans="1:41" ht="33" customHeight="1">
      <c r="A10" s="28" t="s">
        <v>301</v>
      </c>
      <c r="B10" s="13" t="s">
        <v>17</v>
      </c>
      <c r="C10" s="13" t="s">
        <v>252</v>
      </c>
      <c r="D10" s="89" t="s">
        <v>253</v>
      </c>
      <c r="E10" s="43" t="s">
        <v>127</v>
      </c>
      <c r="F10" s="43"/>
      <c r="G10" s="106" t="s">
        <v>433</v>
      </c>
      <c r="H10" s="117" t="s">
        <v>534</v>
      </c>
      <c r="I10" s="174"/>
      <c r="J10" s="174"/>
      <c r="K10" s="13">
        <f>60</f>
        <v>60</v>
      </c>
      <c r="L10" s="175">
        <v>43515</v>
      </c>
      <c r="M10" s="30">
        <v>43570</v>
      </c>
      <c r="N10" s="196"/>
      <c r="O10" s="197">
        <f>O9</f>
        <v>35</v>
      </c>
      <c r="P10" s="54">
        <f t="shared" si="0"/>
        <v>43535</v>
      </c>
      <c r="Q10" s="180" t="str">
        <f ca="1">IF(P10&gt;=TODAY()-5,IF(P10&lt;TODAY()+6,"Пора отправлять","Еще рано"),"Уже не актуально")</f>
        <v>Уже не актуально</v>
      </c>
      <c r="R10" s="63" t="s">
        <v>11</v>
      </c>
      <c r="S10" s="175"/>
      <c r="T10" s="175"/>
      <c r="U10" s="175">
        <f>M10</f>
        <v>43570</v>
      </c>
      <c r="V10" s="76" t="str">
        <f ca="1">IF(U10&gt;TODAY(),IF(U10&lt;TODAY()+17,"Пора отправлять","Еще рано"),"Уже не актуально")</f>
        <v>Уже не актуально</v>
      </c>
      <c r="W10" s="51"/>
      <c r="X10" s="198"/>
      <c r="Y10" s="177"/>
      <c r="Z10" s="51"/>
      <c r="AA10" s="136" t="str">
        <f>IF(Z10="","Рано","когда?")</f>
        <v>Рано</v>
      </c>
      <c r="AB10" s="178"/>
      <c r="AC10" s="76" t="str">
        <f ca="1">IF(AB10&lt;TODAY()-5,IF(AB10="","Еще рано","Уже не актуально"),IF(AB10&gt;TODAY()-2,"Еще рано","Пора отправлять"))</f>
        <v>Еще рано</v>
      </c>
      <c r="AD10" s="20">
        <f t="shared" si="1"/>
        <v>-43570</v>
      </c>
      <c r="AE10" s="193"/>
      <c r="AF10" s="42"/>
      <c r="AG10" s="32"/>
      <c r="AH10" s="12"/>
      <c r="AI10" s="2"/>
      <c r="AJ10" s="2"/>
      <c r="AK10" s="42"/>
      <c r="AL10" s="42"/>
      <c r="AM10" s="2"/>
      <c r="AN10" s="2"/>
      <c r="AO10" s="2"/>
    </row>
    <row r="12" spans="1:41" ht="33" customHeight="1">
      <c r="A12" s="5" t="s">
        <v>301</v>
      </c>
      <c r="B12" s="6" t="s">
        <v>31</v>
      </c>
      <c r="C12" s="16" t="s">
        <v>143</v>
      </c>
      <c r="D12" s="16" t="s">
        <v>119</v>
      </c>
      <c r="E12" s="45" t="s">
        <v>142</v>
      </c>
      <c r="F12" s="50"/>
      <c r="G12" s="6" t="s">
        <v>4</v>
      </c>
      <c r="H12" s="120">
        <v>8</v>
      </c>
      <c r="I12" s="6" t="s">
        <v>11</v>
      </c>
      <c r="J12" s="6" t="s">
        <v>11</v>
      </c>
      <c r="K12" s="16"/>
      <c r="L12" s="7">
        <v>42818</v>
      </c>
      <c r="M12" s="31">
        <f>L12+90</f>
        <v>42908</v>
      </c>
      <c r="N12" s="9">
        <v>42836</v>
      </c>
      <c r="O12" s="58">
        <v>60</v>
      </c>
      <c r="P12" s="54">
        <f t="shared" ref="P12:P20" si="2">M12-O12</f>
        <v>42848</v>
      </c>
      <c r="Q12" s="80" t="str">
        <f t="shared" ref="Q12:Q18" ca="1" si="3">IF(P12&gt;=TODAY()-5,IF(P12&lt;TODAY()+6,"Пора отправлять","Еще рано"),"Уже не актуально")</f>
        <v>Уже не актуально</v>
      </c>
      <c r="R12" s="87">
        <v>42921</v>
      </c>
      <c r="S12" s="7"/>
      <c r="T12" s="7"/>
      <c r="U12" s="8" t="s">
        <v>111</v>
      </c>
      <c r="V12" s="76" t="str">
        <f ca="1">IF(U12&gt;TODAY(),IF(U12&lt;TODAY()+17,"Пора отправлять","Еще рано"),"Уже не актуально")</f>
        <v>Еще рано</v>
      </c>
      <c r="W12" s="8" t="s">
        <v>111</v>
      </c>
      <c r="X12" s="86" t="s">
        <v>111</v>
      </c>
      <c r="Y12" s="8" t="s">
        <v>111</v>
      </c>
      <c r="Z12" s="8" t="s">
        <v>111</v>
      </c>
      <c r="AA12" s="8" t="s">
        <v>111</v>
      </c>
      <c r="AB12" s="68">
        <v>42971</v>
      </c>
      <c r="AC12" s="76" t="str">
        <f ca="1">IF(AB12&lt;TODAY()-5,IF(AB12="","Еще рано","Уже не актуально"),IF(AB12&gt;TODAY()-2,"Еще рано","Пора отправлять"))</f>
        <v>Уже не актуально</v>
      </c>
      <c r="AD12" s="20">
        <f t="shared" ref="AD12:AD20" si="4">AB12-M12</f>
        <v>63</v>
      </c>
      <c r="AE12" s="162" t="s">
        <v>60</v>
      </c>
      <c r="AF12" s="162" t="s">
        <v>249</v>
      </c>
      <c r="AG12" s="32" t="s">
        <v>376</v>
      </c>
      <c r="AH12" s="12"/>
      <c r="AI12" s="2"/>
      <c r="AJ12" s="2"/>
      <c r="AK12" s="42" t="s">
        <v>316</v>
      </c>
      <c r="AL12" s="40"/>
    </row>
    <row r="13" spans="1:41" ht="33" customHeight="1">
      <c r="A13" s="5" t="s">
        <v>301</v>
      </c>
      <c r="B13" s="4" t="s">
        <v>31</v>
      </c>
      <c r="C13" s="16" t="s">
        <v>143</v>
      </c>
      <c r="D13" s="16" t="s">
        <v>119</v>
      </c>
      <c r="E13" s="45" t="s">
        <v>142</v>
      </c>
      <c r="F13" s="45"/>
      <c r="G13" s="4" t="s">
        <v>4</v>
      </c>
      <c r="H13" s="121">
        <v>9</v>
      </c>
      <c r="I13" s="4" t="s">
        <v>11</v>
      </c>
      <c r="J13" s="4" t="s">
        <v>11</v>
      </c>
      <c r="K13" s="4"/>
      <c r="L13" s="8">
        <v>42818</v>
      </c>
      <c r="M13" s="31">
        <f>L13+90</f>
        <v>42908</v>
      </c>
      <c r="N13" s="10">
        <v>42852</v>
      </c>
      <c r="O13" s="58">
        <v>60</v>
      </c>
      <c r="P13" s="54">
        <f t="shared" si="2"/>
        <v>42848</v>
      </c>
      <c r="Q13" s="80" t="str">
        <f t="shared" ca="1" si="3"/>
        <v>Уже не актуально</v>
      </c>
      <c r="R13" s="87">
        <v>42921</v>
      </c>
      <c r="S13" s="8"/>
      <c r="T13" s="8"/>
      <c r="U13" s="8" t="s">
        <v>111</v>
      </c>
      <c r="V13" s="76" t="str">
        <f ca="1">IF(U13&gt;TODAY(),IF(U13&lt;TODAY()+17,"Пора отправлять","Еще рано"),"Уже не актуально")</f>
        <v>Еще рано</v>
      </c>
      <c r="W13" s="8" t="s">
        <v>111</v>
      </c>
      <c r="X13" s="86" t="s">
        <v>111</v>
      </c>
      <c r="Y13" s="8" t="s">
        <v>111</v>
      </c>
      <c r="Z13" s="8" t="s">
        <v>111</v>
      </c>
      <c r="AA13" s="8" t="s">
        <v>111</v>
      </c>
      <c r="AB13" s="69">
        <v>42997</v>
      </c>
      <c r="AC13" s="76" t="str">
        <f ca="1">IF(AB13&lt;TODAY()-5,IF(AB13="","Еще рано","Уже не актуально"),IF(AB13&gt;TODAY()-2,"Еще рано","Пора отправлять"))</f>
        <v>Уже не актуально</v>
      </c>
      <c r="AD13" s="20">
        <f t="shared" si="4"/>
        <v>89</v>
      </c>
      <c r="AE13" s="486" t="s">
        <v>53</v>
      </c>
      <c r="AF13" s="486" t="s">
        <v>51</v>
      </c>
      <c r="AG13" s="32" t="s">
        <v>376</v>
      </c>
      <c r="AH13" s="12"/>
      <c r="AI13" s="2"/>
      <c r="AJ13" s="2"/>
      <c r="AK13" s="42" t="s">
        <v>316</v>
      </c>
      <c r="AL13" s="40"/>
    </row>
    <row r="14" spans="1:41" ht="33" customHeight="1">
      <c r="A14" s="5" t="s">
        <v>301</v>
      </c>
      <c r="B14" s="4" t="s">
        <v>31</v>
      </c>
      <c r="C14" s="16" t="s">
        <v>143</v>
      </c>
      <c r="D14" s="16" t="s">
        <v>119</v>
      </c>
      <c r="E14" s="45" t="s">
        <v>142</v>
      </c>
      <c r="F14" s="45"/>
      <c r="G14" s="4" t="s">
        <v>4</v>
      </c>
      <c r="H14" s="121">
        <v>10</v>
      </c>
      <c r="I14" s="4" t="s">
        <v>11</v>
      </c>
      <c r="J14" s="4" t="s">
        <v>11</v>
      </c>
      <c r="K14" s="4"/>
      <c r="L14" s="8">
        <v>42849</v>
      </c>
      <c r="M14" s="31">
        <f>L14+90</f>
        <v>42939</v>
      </c>
      <c r="N14" s="10">
        <v>42927</v>
      </c>
      <c r="O14" s="58">
        <v>60</v>
      </c>
      <c r="P14" s="54">
        <f t="shared" si="2"/>
        <v>42879</v>
      </c>
      <c r="Q14" s="80" t="str">
        <f t="shared" ca="1" si="3"/>
        <v>Уже не актуально</v>
      </c>
      <c r="R14" s="87">
        <v>42921</v>
      </c>
      <c r="S14" s="8"/>
      <c r="T14" s="8"/>
      <c r="U14" s="8" t="s">
        <v>111</v>
      </c>
      <c r="V14" s="76" t="str">
        <f ca="1">IF(U14&gt;TODAY(),IF(U14&lt;TODAY()+17,"Пора отправлять","Еще рано"),"Уже не актуально")</f>
        <v>Еще рано</v>
      </c>
      <c r="W14" s="8" t="s">
        <v>111</v>
      </c>
      <c r="X14" s="86" t="s">
        <v>111</v>
      </c>
      <c r="Y14" s="8" t="s">
        <v>111</v>
      </c>
      <c r="Z14" s="8" t="s">
        <v>111</v>
      </c>
      <c r="AA14" s="8" t="s">
        <v>111</v>
      </c>
      <c r="AB14" s="69">
        <v>42997</v>
      </c>
      <c r="AC14" s="76" t="str">
        <f ca="1">IF(AB14&lt;TODAY()-5,IF(AB14="","Еще рано","Уже не актуально"),IF(AB14&gt;TODAY()-2,"Еще рано","Пора отправлять"))</f>
        <v>Уже не актуально</v>
      </c>
      <c r="AD14" s="20">
        <f t="shared" si="4"/>
        <v>58</v>
      </c>
      <c r="AE14" s="486"/>
      <c r="AF14" s="486"/>
      <c r="AG14" s="32" t="s">
        <v>376</v>
      </c>
      <c r="AH14" s="12"/>
      <c r="AI14" s="2"/>
      <c r="AJ14" s="2"/>
      <c r="AK14" s="42" t="s">
        <v>316</v>
      </c>
      <c r="AL14" s="40"/>
    </row>
    <row r="15" spans="1:41" ht="33" customHeight="1">
      <c r="A15" s="5" t="s">
        <v>301</v>
      </c>
      <c r="B15" s="4" t="s">
        <v>31</v>
      </c>
      <c r="C15" s="16" t="s">
        <v>143</v>
      </c>
      <c r="D15" s="16" t="s">
        <v>119</v>
      </c>
      <c r="E15" s="45" t="s">
        <v>142</v>
      </c>
      <c r="F15" s="45"/>
      <c r="G15" s="4" t="s">
        <v>4</v>
      </c>
      <c r="H15" s="121">
        <v>11</v>
      </c>
      <c r="I15" s="4" t="s">
        <v>11</v>
      </c>
      <c r="J15" s="4" t="s">
        <v>11</v>
      </c>
      <c r="K15" s="4">
        <v>23</v>
      </c>
      <c r="L15" s="8">
        <v>42914</v>
      </c>
      <c r="M15" s="30">
        <f>N15+90</f>
        <v>43017</v>
      </c>
      <c r="N15" s="37">
        <v>42927</v>
      </c>
      <c r="O15" s="59">
        <v>60</v>
      </c>
      <c r="P15" s="54">
        <f t="shared" si="2"/>
        <v>42957</v>
      </c>
      <c r="Q15" s="80" t="str">
        <f t="shared" ca="1" si="3"/>
        <v>Уже не актуально</v>
      </c>
      <c r="R15" s="82" t="s">
        <v>11</v>
      </c>
      <c r="S15" s="8"/>
      <c r="T15" s="8"/>
      <c r="U15" s="34">
        <v>43005</v>
      </c>
      <c r="V15" s="76" t="str">
        <f ca="1">IF(U15&gt;TODAY(),IF(U15&lt;TODAY()+17,"Пора отправлять","Еще рано"),"Уже не актуально")</f>
        <v>Уже не актуально</v>
      </c>
      <c r="W15" s="79">
        <v>43018</v>
      </c>
      <c r="X15" s="86" t="s">
        <v>177</v>
      </c>
      <c r="Y15" s="86" t="s">
        <v>177</v>
      </c>
      <c r="Z15" s="8">
        <v>43018</v>
      </c>
      <c r="AA15" s="8" t="s">
        <v>111</v>
      </c>
      <c r="AB15" s="66">
        <v>43037</v>
      </c>
      <c r="AC15" s="76" t="str">
        <f ca="1">IF(AB15&lt;TODAY()-5,IF(AB15="","Еще рано","Уже не актуально"),IF(AB15&gt;TODAY()-2,"Еще рано","Пора отправлять"))</f>
        <v>Уже не актуально</v>
      </c>
      <c r="AD15" s="18">
        <f t="shared" si="4"/>
        <v>20</v>
      </c>
      <c r="AE15" s="15" t="s">
        <v>85</v>
      </c>
      <c r="AF15" s="162"/>
      <c r="AG15" s="32" t="s">
        <v>376</v>
      </c>
      <c r="AH15" s="12"/>
      <c r="AI15" s="2"/>
      <c r="AJ15" s="2"/>
      <c r="AK15" s="42" t="s">
        <v>316</v>
      </c>
      <c r="AL15" s="40"/>
    </row>
    <row r="16" spans="1:41" ht="33" customHeight="1">
      <c r="A16" s="5" t="s">
        <v>301</v>
      </c>
      <c r="B16" s="4" t="s">
        <v>31</v>
      </c>
      <c r="C16" s="16" t="s">
        <v>143</v>
      </c>
      <c r="D16" s="16" t="s">
        <v>119</v>
      </c>
      <c r="E16" s="45" t="s">
        <v>142</v>
      </c>
      <c r="F16" s="45"/>
      <c r="G16" s="4" t="s">
        <v>4</v>
      </c>
      <c r="H16" s="121">
        <v>12</v>
      </c>
      <c r="I16" s="4" t="s">
        <v>11</v>
      </c>
      <c r="J16" s="4" t="s">
        <v>11</v>
      </c>
      <c r="K16" s="4">
        <v>22</v>
      </c>
      <c r="L16" s="8">
        <v>42950</v>
      </c>
      <c r="M16" s="30">
        <f>L16+90</f>
        <v>43040</v>
      </c>
      <c r="N16" s="8">
        <v>42961</v>
      </c>
      <c r="O16" s="60">
        <v>60</v>
      </c>
      <c r="P16" s="54">
        <f t="shared" si="2"/>
        <v>42980</v>
      </c>
      <c r="Q16" s="80" t="str">
        <f t="shared" ca="1" si="3"/>
        <v>Уже не актуально</v>
      </c>
      <c r="R16" s="82" t="s">
        <v>11</v>
      </c>
      <c r="S16" s="8"/>
      <c r="T16" s="8"/>
      <c r="U16" s="34">
        <v>43035</v>
      </c>
      <c r="V16" s="76" t="str">
        <f ca="1">IF(U16&gt;TODAY(),IF(U16&lt;TODAY()+17,"Пора отправлять","Еще рано"),"Уже не актуально")</f>
        <v>Уже не актуально</v>
      </c>
      <c r="W16" s="79">
        <v>43035</v>
      </c>
      <c r="X16" s="86" t="s">
        <v>177</v>
      </c>
      <c r="Y16" s="86" t="s">
        <v>177</v>
      </c>
      <c r="Z16" s="10" t="s">
        <v>159</v>
      </c>
      <c r="AA16" s="10">
        <v>43061</v>
      </c>
      <c r="AB16" s="70">
        <v>43063</v>
      </c>
      <c r="AC16" s="76" t="s">
        <v>163</v>
      </c>
      <c r="AD16" s="20">
        <f t="shared" si="4"/>
        <v>23</v>
      </c>
      <c r="AE16" s="162" t="s">
        <v>168</v>
      </c>
      <c r="AF16" s="162"/>
      <c r="AG16" s="32" t="s">
        <v>376</v>
      </c>
      <c r="AH16" s="12"/>
      <c r="AI16" s="2"/>
      <c r="AJ16" s="2"/>
      <c r="AK16" s="42" t="s">
        <v>316</v>
      </c>
      <c r="AL16" s="40"/>
    </row>
    <row r="17" spans="1:40" ht="33" customHeight="1">
      <c r="A17" s="5" t="s">
        <v>301</v>
      </c>
      <c r="B17" s="4" t="s">
        <v>31</v>
      </c>
      <c r="C17" s="16" t="s">
        <v>143</v>
      </c>
      <c r="D17" s="16" t="s">
        <v>119</v>
      </c>
      <c r="E17" s="45" t="s">
        <v>130</v>
      </c>
      <c r="F17" s="45"/>
      <c r="G17" s="4" t="s">
        <v>4</v>
      </c>
      <c r="H17" s="121">
        <v>13</v>
      </c>
      <c r="I17" s="4" t="s">
        <v>11</v>
      </c>
      <c r="J17" s="4" t="s">
        <v>11</v>
      </c>
      <c r="K17" s="4">
        <v>34.5</v>
      </c>
      <c r="L17" s="8">
        <v>42984</v>
      </c>
      <c r="M17" s="30">
        <f>N17+90</f>
        <v>43086</v>
      </c>
      <c r="N17" s="10">
        <v>42996</v>
      </c>
      <c r="O17" s="60">
        <v>60</v>
      </c>
      <c r="P17" s="54">
        <f t="shared" si="2"/>
        <v>43026</v>
      </c>
      <c r="Q17" s="80" t="str">
        <f t="shared" ca="1" si="3"/>
        <v>Уже не актуально</v>
      </c>
      <c r="R17" s="82">
        <v>43004</v>
      </c>
      <c r="S17" s="8"/>
      <c r="T17" s="8"/>
      <c r="U17" s="34">
        <v>43066</v>
      </c>
      <c r="V17" s="76" t="s">
        <v>163</v>
      </c>
      <c r="W17" s="79">
        <v>43055</v>
      </c>
      <c r="X17" s="86" t="s">
        <v>177</v>
      </c>
      <c r="Y17" s="86" t="s">
        <v>177</v>
      </c>
      <c r="Z17" s="10">
        <v>43048</v>
      </c>
      <c r="AA17" s="10">
        <v>43061</v>
      </c>
      <c r="AB17" s="70">
        <v>43063</v>
      </c>
      <c r="AC17" s="76" t="s">
        <v>163</v>
      </c>
      <c r="AD17" s="20">
        <f t="shared" si="4"/>
        <v>-23</v>
      </c>
      <c r="AE17" s="162" t="s">
        <v>180</v>
      </c>
      <c r="AF17" s="99" t="s">
        <v>172</v>
      </c>
      <c r="AG17" s="32" t="s">
        <v>376</v>
      </c>
      <c r="AH17" s="12"/>
      <c r="AI17" s="2"/>
      <c r="AJ17" s="2"/>
      <c r="AK17" s="42" t="s">
        <v>316</v>
      </c>
      <c r="AL17" s="40"/>
    </row>
    <row r="18" spans="1:40" ht="33" customHeight="1">
      <c r="A18" s="5" t="s">
        <v>301</v>
      </c>
      <c r="B18" s="4" t="s">
        <v>31</v>
      </c>
      <c r="C18" s="16" t="s">
        <v>143</v>
      </c>
      <c r="D18" s="16" t="s">
        <v>119</v>
      </c>
      <c r="E18" s="45" t="s">
        <v>130</v>
      </c>
      <c r="F18" s="45"/>
      <c r="G18" s="4" t="s">
        <v>4</v>
      </c>
      <c r="H18" s="121">
        <v>14</v>
      </c>
      <c r="I18" s="4"/>
      <c r="J18" s="4"/>
      <c r="K18" s="4">
        <v>30.8</v>
      </c>
      <c r="L18" s="8">
        <v>43006</v>
      </c>
      <c r="M18" s="30">
        <f>N18+90</f>
        <v>43111</v>
      </c>
      <c r="N18" s="8">
        <v>43021</v>
      </c>
      <c r="O18" s="60">
        <v>60</v>
      </c>
      <c r="P18" s="54">
        <f t="shared" si="2"/>
        <v>43051</v>
      </c>
      <c r="Q18" s="80" t="str">
        <f t="shared" ca="1" si="3"/>
        <v>Уже не актуально</v>
      </c>
      <c r="R18" s="82">
        <v>43038</v>
      </c>
      <c r="S18" s="8"/>
      <c r="T18" s="8"/>
      <c r="U18" s="34">
        <v>43074</v>
      </c>
      <c r="V18" s="76" t="s">
        <v>163</v>
      </c>
      <c r="W18" s="79">
        <v>43073</v>
      </c>
      <c r="X18" s="79" t="s">
        <v>192</v>
      </c>
      <c r="Y18" s="34">
        <v>43075</v>
      </c>
      <c r="Z18" s="8">
        <v>43062</v>
      </c>
      <c r="AA18" s="8">
        <v>43075</v>
      </c>
      <c r="AB18" s="71">
        <v>43080</v>
      </c>
      <c r="AC18" s="76" t="s">
        <v>198</v>
      </c>
      <c r="AD18" s="20">
        <f t="shared" si="4"/>
        <v>-31</v>
      </c>
      <c r="AE18" s="162" t="s">
        <v>193</v>
      </c>
      <c r="AF18" s="162"/>
      <c r="AG18" s="32" t="s">
        <v>376</v>
      </c>
      <c r="AH18" s="12"/>
      <c r="AI18" s="2"/>
      <c r="AJ18" s="2"/>
      <c r="AK18" s="42" t="s">
        <v>316</v>
      </c>
      <c r="AL18" s="40"/>
    </row>
    <row r="19" spans="1:40" ht="33" customHeight="1">
      <c r="A19" s="5" t="s">
        <v>301</v>
      </c>
      <c r="B19" s="4" t="s">
        <v>31</v>
      </c>
      <c r="C19" s="16" t="s">
        <v>143</v>
      </c>
      <c r="D19" s="16" t="s">
        <v>119</v>
      </c>
      <c r="E19" s="45" t="s">
        <v>130</v>
      </c>
      <c r="F19" s="45"/>
      <c r="G19" s="4" t="s">
        <v>4</v>
      </c>
      <c r="H19" s="121" t="s">
        <v>582</v>
      </c>
      <c r="I19" s="4"/>
      <c r="J19" s="4"/>
      <c r="K19" s="4">
        <v>68</v>
      </c>
      <c r="L19" s="8">
        <v>43052</v>
      </c>
      <c r="M19" s="30">
        <f>L19+90</f>
        <v>43142</v>
      </c>
      <c r="N19" s="27">
        <v>43118</v>
      </c>
      <c r="O19" s="60">
        <v>60</v>
      </c>
      <c r="P19" s="54">
        <f t="shared" si="2"/>
        <v>43082</v>
      </c>
      <c r="Q19" s="80" t="s">
        <v>194</v>
      </c>
      <c r="R19" s="82">
        <v>43061</v>
      </c>
      <c r="S19" s="8" t="s">
        <v>196</v>
      </c>
      <c r="T19" s="8"/>
      <c r="U19" s="34">
        <v>43125</v>
      </c>
      <c r="V19" s="76" t="s">
        <v>163</v>
      </c>
      <c r="W19" s="79">
        <v>43125</v>
      </c>
      <c r="X19" s="79" t="s">
        <v>177</v>
      </c>
      <c r="Y19" s="79" t="s">
        <v>177</v>
      </c>
      <c r="Z19" s="8">
        <v>43115</v>
      </c>
      <c r="AA19" s="8">
        <v>43116</v>
      </c>
      <c r="AB19" s="8">
        <v>43137</v>
      </c>
      <c r="AC19" s="76" t="str">
        <f ca="1">IF(AB19&lt;TODAY()-5,IF(AB19="","Еще рано","Уже не актуально"),IF(AB19&gt;TODAY()-2,"Еще рано","Пора отправлять"))</f>
        <v>Уже не актуально</v>
      </c>
      <c r="AD19" s="20">
        <f t="shared" si="4"/>
        <v>-5</v>
      </c>
      <c r="AE19" s="162" t="s">
        <v>199</v>
      </c>
      <c r="AF19" s="99" t="s">
        <v>237</v>
      </c>
      <c r="AG19" s="32" t="s">
        <v>376</v>
      </c>
      <c r="AH19" s="12"/>
      <c r="AI19" s="2"/>
      <c r="AJ19" s="2"/>
      <c r="AK19" s="42" t="s">
        <v>316</v>
      </c>
      <c r="AL19" s="40"/>
    </row>
    <row r="20" spans="1:40" ht="33" customHeight="1">
      <c r="A20" s="5" t="s">
        <v>301</v>
      </c>
      <c r="B20" s="4" t="s">
        <v>31</v>
      </c>
      <c r="C20" s="16" t="s">
        <v>143</v>
      </c>
      <c r="D20" s="16" t="s">
        <v>119</v>
      </c>
      <c r="E20" s="45" t="s">
        <v>130</v>
      </c>
      <c r="F20" s="45"/>
      <c r="G20" s="4" t="s">
        <v>4</v>
      </c>
      <c r="H20" s="121">
        <v>16</v>
      </c>
      <c r="I20" s="4"/>
      <c r="J20" s="4"/>
      <c r="K20" s="4">
        <v>4</v>
      </c>
      <c r="L20" s="8">
        <v>43069</v>
      </c>
      <c r="M20" s="30">
        <f>L20+90</f>
        <v>43159</v>
      </c>
      <c r="N20" s="8">
        <v>43077</v>
      </c>
      <c r="O20" s="60">
        <v>60</v>
      </c>
      <c r="P20" s="54">
        <f t="shared" si="2"/>
        <v>43099</v>
      </c>
      <c r="Q20" s="80" t="s">
        <v>202</v>
      </c>
      <c r="R20" s="82">
        <v>43062</v>
      </c>
      <c r="S20" s="8" t="s">
        <v>196</v>
      </c>
      <c r="T20" s="8"/>
      <c r="U20" s="34">
        <f>M20</f>
        <v>43159</v>
      </c>
      <c r="V20" s="76" t="s">
        <v>240</v>
      </c>
      <c r="W20" s="79">
        <v>43158</v>
      </c>
      <c r="X20" s="79">
        <v>43164</v>
      </c>
      <c r="Y20" s="8" t="s">
        <v>111</v>
      </c>
      <c r="Z20" s="8">
        <v>43165</v>
      </c>
      <c r="AA20" s="8" t="s">
        <v>111</v>
      </c>
      <c r="AB20" s="65">
        <v>43278</v>
      </c>
      <c r="AC20" s="76" t="str">
        <f ca="1">IF(AB20&lt;TODAY()-5,IF(AB20="","Еще рано","Уже не актуально"),IF(AB20&gt;TODAY()-2,"Еще рано","Пора отправлять"))</f>
        <v>Уже не актуально</v>
      </c>
      <c r="AD20" s="20">
        <f t="shared" si="4"/>
        <v>119</v>
      </c>
      <c r="AE20" s="114" t="s">
        <v>310</v>
      </c>
      <c r="AF20" s="162"/>
      <c r="AG20" s="32" t="s">
        <v>376</v>
      </c>
      <c r="AH20" s="12"/>
      <c r="AI20" s="2"/>
      <c r="AJ20" s="2"/>
      <c r="AK20" s="42" t="s">
        <v>316</v>
      </c>
      <c r="AL20" s="98"/>
    </row>
    <row r="22" spans="1:40" ht="33" customHeight="1">
      <c r="A22" s="5" t="s">
        <v>301</v>
      </c>
      <c r="B22" s="23" t="s">
        <v>24</v>
      </c>
      <c r="C22" s="23" t="s">
        <v>144</v>
      </c>
      <c r="D22" s="23" t="s">
        <v>124</v>
      </c>
      <c r="E22" s="91" t="s">
        <v>131</v>
      </c>
      <c r="F22" s="44" t="s">
        <v>157</v>
      </c>
      <c r="G22" s="23" t="s">
        <v>4</v>
      </c>
      <c r="H22" s="119">
        <v>8</v>
      </c>
      <c r="I22" s="23" t="s">
        <v>11</v>
      </c>
      <c r="J22" s="23" t="s">
        <v>11</v>
      </c>
      <c r="K22" s="23"/>
      <c r="L22" s="24">
        <v>42955</v>
      </c>
      <c r="M22" s="30">
        <f>L22+55</f>
        <v>43010</v>
      </c>
      <c r="N22" s="24">
        <v>42955</v>
      </c>
      <c r="O22" s="57">
        <v>35</v>
      </c>
      <c r="P22" s="54">
        <f t="shared" ref="P22:P29" si="5">M22-O22</f>
        <v>42975</v>
      </c>
      <c r="Q22" s="80" t="str">
        <f ca="1">IF(P22&gt;=TODAY()-5,IF(P22&lt;TODAY()+6,"Пора отправлять","Еще рано"),"Уже не актуально")</f>
        <v>Уже не актуально</v>
      </c>
      <c r="R22" s="83">
        <v>42969</v>
      </c>
      <c r="S22" s="24"/>
      <c r="T22" s="24"/>
      <c r="U22" s="33">
        <f>N22+50</f>
        <v>43005</v>
      </c>
      <c r="V22" s="76" t="str">
        <f ca="1">IF(U22&gt;TODAY(),IF(U22&lt;TODAY()+17,"Пора отправлять","Еще рано"),"Уже не актуально")</f>
        <v>Уже не актуально</v>
      </c>
      <c r="W22" s="38">
        <v>43019</v>
      </c>
      <c r="X22" s="36">
        <v>43027</v>
      </c>
      <c r="Y22" s="37">
        <v>43034</v>
      </c>
      <c r="Z22" s="24" t="s">
        <v>72</v>
      </c>
      <c r="AA22" s="24" t="s">
        <v>111</v>
      </c>
      <c r="AB22" s="67">
        <v>43039</v>
      </c>
      <c r="AC22" s="76" t="str">
        <f ca="1">IF(AB22&lt;TODAY()-5,IF(AB22="","Еще рано","Уже не актуально"),IF(AB22&gt;TODAY()-2,"Еще рано","Пора отправлять"))</f>
        <v>Уже не актуально</v>
      </c>
      <c r="AD22" s="39">
        <f t="shared" ref="AD22:AD30" si="6">AB22-M22</f>
        <v>29</v>
      </c>
      <c r="AE22" s="94"/>
      <c r="AF22" s="93" t="s">
        <v>77</v>
      </c>
      <c r="AG22" s="32" t="s">
        <v>376</v>
      </c>
      <c r="AH22" s="12"/>
      <c r="AI22" s="2"/>
      <c r="AJ22" s="2"/>
      <c r="AK22" s="42" t="s">
        <v>316</v>
      </c>
      <c r="AL22" s="40"/>
    </row>
    <row r="23" spans="1:40" ht="33" customHeight="1">
      <c r="A23" s="5" t="s">
        <v>301</v>
      </c>
      <c r="B23" s="23" t="s">
        <v>24</v>
      </c>
      <c r="C23" s="23" t="s">
        <v>144</v>
      </c>
      <c r="D23" s="23" t="s">
        <v>124</v>
      </c>
      <c r="E23" s="91" t="s">
        <v>131</v>
      </c>
      <c r="F23" s="44" t="s">
        <v>157</v>
      </c>
      <c r="G23" s="23" t="s">
        <v>46</v>
      </c>
      <c r="H23" s="119">
        <v>9</v>
      </c>
      <c r="I23" s="23" t="s">
        <v>11</v>
      </c>
      <c r="J23" s="23" t="s">
        <v>11</v>
      </c>
      <c r="K23" s="23"/>
      <c r="L23" s="24">
        <v>42976</v>
      </c>
      <c r="M23" s="30">
        <f>L23+55</f>
        <v>43031</v>
      </c>
      <c r="N23" s="24">
        <v>42985</v>
      </c>
      <c r="O23" s="57">
        <v>35</v>
      </c>
      <c r="P23" s="54">
        <f t="shared" si="5"/>
        <v>42996</v>
      </c>
      <c r="Q23" s="80" t="str">
        <f ca="1">IF(P23&gt;=TODAY()-5,IF(P23&lt;TODAY()+6,"Пора отправлять","Еще рано"),"Уже не актуально")</f>
        <v>Уже не актуально</v>
      </c>
      <c r="R23" s="83">
        <v>42996</v>
      </c>
      <c r="S23" s="24"/>
      <c r="T23" s="24"/>
      <c r="U23" s="33">
        <v>43007</v>
      </c>
      <c r="V23" s="76" t="str">
        <f ca="1">IF(U23&gt;TODAY(),IF(U23&lt;TODAY()+17,"Пора отправлять","Еще рано"),"Уже не актуально")</f>
        <v>Уже не актуально</v>
      </c>
      <c r="W23" s="24">
        <v>43037</v>
      </c>
      <c r="X23" s="96">
        <v>43042</v>
      </c>
      <c r="Y23" s="96" t="s">
        <v>98</v>
      </c>
      <c r="Z23" s="97" t="s">
        <v>108</v>
      </c>
      <c r="AA23" s="25" t="s">
        <v>111</v>
      </c>
      <c r="AB23" s="67">
        <v>43054</v>
      </c>
      <c r="AC23" s="76" t="str">
        <f ca="1">IF(AB23&lt;TODAY()-5,IF(AB23="","Еще рано","Уже не актуально"),IF(AB23&gt;TODAY()-2,"Еще рано","Пора отправлять"))</f>
        <v>Уже не актуально</v>
      </c>
      <c r="AD23" s="20">
        <f t="shared" si="6"/>
        <v>23</v>
      </c>
      <c r="AE23" s="92" t="s">
        <v>114</v>
      </c>
      <c r="AF23" s="162"/>
      <c r="AG23" s="32" t="s">
        <v>376</v>
      </c>
      <c r="AH23" s="12"/>
      <c r="AI23" s="2"/>
      <c r="AJ23" s="2"/>
      <c r="AK23" s="42" t="s">
        <v>316</v>
      </c>
      <c r="AL23" s="40"/>
    </row>
    <row r="24" spans="1:40" ht="33" customHeight="1">
      <c r="A24" s="5" t="s">
        <v>301</v>
      </c>
      <c r="B24" s="23" t="s">
        <v>24</v>
      </c>
      <c r="C24" s="23" t="s">
        <v>144</v>
      </c>
      <c r="D24" s="23" t="s">
        <v>124</v>
      </c>
      <c r="E24" s="91" t="s">
        <v>131</v>
      </c>
      <c r="F24" s="44" t="s">
        <v>157</v>
      </c>
      <c r="G24" s="23" t="s">
        <v>46</v>
      </c>
      <c r="H24" s="119">
        <v>10</v>
      </c>
      <c r="I24" s="23"/>
      <c r="J24" s="23"/>
      <c r="K24" s="23"/>
      <c r="L24" s="24">
        <v>43032</v>
      </c>
      <c r="M24" s="30">
        <f>L24+55</f>
        <v>43087</v>
      </c>
      <c r="N24" s="25">
        <v>43053</v>
      </c>
      <c r="O24" s="57">
        <v>35</v>
      </c>
      <c r="P24" s="54">
        <f t="shared" si="5"/>
        <v>43052</v>
      </c>
      <c r="Q24" s="80" t="str">
        <f ca="1">IF(P24&gt;=TODAY()-5,IF(P24&lt;TODAY()+6,"Пора отправлять","Еще рано"),"Уже не актуально")</f>
        <v>Уже не актуально</v>
      </c>
      <c r="R24" s="81" t="s">
        <v>11</v>
      </c>
      <c r="S24" s="24"/>
      <c r="T24" s="24"/>
      <c r="U24" s="24">
        <v>43105</v>
      </c>
      <c r="V24" s="76" t="s">
        <v>207</v>
      </c>
      <c r="W24" s="10">
        <v>43106</v>
      </c>
      <c r="X24" s="85">
        <v>43108</v>
      </c>
      <c r="Y24" s="24">
        <v>43109</v>
      </c>
      <c r="Z24" s="24">
        <v>43110</v>
      </c>
      <c r="AA24" s="107">
        <v>43110</v>
      </c>
      <c r="AB24" s="67">
        <v>43136</v>
      </c>
      <c r="AC24" s="76" t="s">
        <v>238</v>
      </c>
      <c r="AD24" s="20">
        <f t="shared" si="6"/>
        <v>49</v>
      </c>
      <c r="AE24" s="15" t="s">
        <v>229</v>
      </c>
      <c r="AF24" s="162"/>
      <c r="AG24" s="32" t="s">
        <v>376</v>
      </c>
      <c r="AH24" s="12"/>
      <c r="AI24" s="2"/>
      <c r="AJ24" s="2"/>
      <c r="AK24" s="42" t="s">
        <v>316</v>
      </c>
      <c r="AL24" s="78"/>
    </row>
    <row r="25" spans="1:40" ht="33" customHeight="1">
      <c r="A25" s="5" t="s">
        <v>301</v>
      </c>
      <c r="B25" s="23" t="s">
        <v>24</v>
      </c>
      <c r="C25" s="23" t="s">
        <v>144</v>
      </c>
      <c r="D25" s="23" t="s">
        <v>124</v>
      </c>
      <c r="E25" s="91" t="s">
        <v>131</v>
      </c>
      <c r="F25" s="44" t="s">
        <v>157</v>
      </c>
      <c r="G25" s="23" t="s">
        <v>46</v>
      </c>
      <c r="H25" s="119">
        <v>11</v>
      </c>
      <c r="I25" s="23"/>
      <c r="J25" s="23"/>
      <c r="K25" s="23"/>
      <c r="L25" s="24">
        <v>43059</v>
      </c>
      <c r="M25" s="30">
        <f>L25+55</f>
        <v>43114</v>
      </c>
      <c r="N25" s="24">
        <v>43069</v>
      </c>
      <c r="O25" s="57">
        <v>35</v>
      </c>
      <c r="P25" s="54">
        <f t="shared" si="5"/>
        <v>43079</v>
      </c>
      <c r="Q25" s="80" t="s">
        <v>181</v>
      </c>
      <c r="R25" s="81" t="s">
        <v>11</v>
      </c>
      <c r="S25" s="24"/>
      <c r="T25" s="24"/>
      <c r="U25" s="24">
        <v>43132</v>
      </c>
      <c r="V25" s="76" t="s">
        <v>207</v>
      </c>
      <c r="W25" s="10">
        <v>43132</v>
      </c>
      <c r="X25" s="85">
        <v>43136</v>
      </c>
      <c r="Y25" s="24">
        <v>43137</v>
      </c>
      <c r="Z25" s="24">
        <v>43110</v>
      </c>
      <c r="AA25" s="24" t="s">
        <v>111</v>
      </c>
      <c r="AB25" s="67">
        <v>43138</v>
      </c>
      <c r="AC25" s="76" t="str">
        <f ca="1">IF(AB25&lt;TODAY()-5,IF(AB25="","Еще рано","Уже не актуально"),IF(AB25&gt;TODAY()-2,"Еще рано","Пора отправлять"))</f>
        <v>Уже не актуально</v>
      </c>
      <c r="AD25" s="20">
        <f t="shared" si="6"/>
        <v>24</v>
      </c>
      <c r="AE25" s="15" t="s">
        <v>229</v>
      </c>
      <c r="AF25" s="15"/>
      <c r="AG25" s="32" t="s">
        <v>376</v>
      </c>
      <c r="AH25" s="12"/>
      <c r="AI25" s="2"/>
      <c r="AJ25" s="2"/>
      <c r="AK25" s="42" t="s">
        <v>316</v>
      </c>
      <c r="AL25" s="78"/>
    </row>
    <row r="26" spans="1:40" ht="33" customHeight="1">
      <c r="A26" s="5" t="s">
        <v>301</v>
      </c>
      <c r="B26" s="23" t="s">
        <v>24</v>
      </c>
      <c r="C26" s="23" t="s">
        <v>144</v>
      </c>
      <c r="D26" s="23" t="s">
        <v>124</v>
      </c>
      <c r="E26" s="91" t="s">
        <v>131</v>
      </c>
      <c r="F26" s="44" t="s">
        <v>157</v>
      </c>
      <c r="G26" s="23" t="s">
        <v>46</v>
      </c>
      <c r="H26" s="119">
        <v>12</v>
      </c>
      <c r="I26" s="23"/>
      <c r="J26" s="23"/>
      <c r="K26" s="23"/>
      <c r="L26" s="24">
        <v>43069</v>
      </c>
      <c r="M26" s="30">
        <f>L26+55</f>
        <v>43124</v>
      </c>
      <c r="N26" s="24">
        <v>43070</v>
      </c>
      <c r="O26" s="57">
        <v>35</v>
      </c>
      <c r="P26" s="54">
        <f t="shared" si="5"/>
        <v>43089</v>
      </c>
      <c r="Q26" s="80" t="s">
        <v>200</v>
      </c>
      <c r="R26" s="81" t="s">
        <v>11</v>
      </c>
      <c r="S26" s="24"/>
      <c r="T26" s="24"/>
      <c r="U26" s="24">
        <v>43132</v>
      </c>
      <c r="V26" s="76" t="s">
        <v>211</v>
      </c>
      <c r="W26" s="10">
        <v>43132</v>
      </c>
      <c r="X26" s="85">
        <v>43136</v>
      </c>
      <c r="Y26" s="24">
        <v>43137</v>
      </c>
      <c r="Z26" s="24">
        <v>43110</v>
      </c>
      <c r="AA26" s="24" t="s">
        <v>111</v>
      </c>
      <c r="AB26" s="67">
        <v>43138</v>
      </c>
      <c r="AC26" s="76" t="str">
        <f ca="1">IF(AB26&lt;TODAY()-5,IF(AB26="","Еще рано","Уже не актуально"),IF(AB26&gt;TODAY()-2,"Еще рано","Пора отправлять"))</f>
        <v>Уже не актуально</v>
      </c>
      <c r="AD26" s="20">
        <f t="shared" si="6"/>
        <v>14</v>
      </c>
      <c r="AE26" s="15" t="s">
        <v>229</v>
      </c>
      <c r="AF26" s="15"/>
      <c r="AG26" s="32" t="s">
        <v>376</v>
      </c>
      <c r="AH26" s="12"/>
      <c r="AI26" s="2"/>
      <c r="AJ26" s="2"/>
      <c r="AK26" s="42" t="s">
        <v>316</v>
      </c>
      <c r="AL26" s="40"/>
    </row>
    <row r="27" spans="1:40" ht="33" customHeight="1">
      <c r="A27" s="5" t="s">
        <v>301</v>
      </c>
      <c r="B27" s="23" t="s">
        <v>24</v>
      </c>
      <c r="C27" s="23" t="s">
        <v>144</v>
      </c>
      <c r="D27" s="23" t="s">
        <v>124</v>
      </c>
      <c r="E27" s="91" t="s">
        <v>131</v>
      </c>
      <c r="F27" s="44" t="s">
        <v>157</v>
      </c>
      <c r="G27" s="23" t="s">
        <v>46</v>
      </c>
      <c r="H27" s="119">
        <v>13</v>
      </c>
      <c r="I27" s="23"/>
      <c r="J27" s="23"/>
      <c r="K27" s="23">
        <v>10</v>
      </c>
      <c r="L27" s="24">
        <v>43218</v>
      </c>
      <c r="M27" s="30">
        <v>43284</v>
      </c>
      <c r="N27" s="24"/>
      <c r="O27" s="57">
        <v>35</v>
      </c>
      <c r="P27" s="54">
        <f t="shared" si="5"/>
        <v>43249</v>
      </c>
      <c r="Q27" s="80" t="str">
        <f ca="1">IF(P27&gt;=TODAY()-5,IF(P27&lt;TODAY()+6,"Пора отправлять","Еще рано"),"Уже не актуально")</f>
        <v>Уже не актуально</v>
      </c>
      <c r="R27" s="81" t="s">
        <v>11</v>
      </c>
      <c r="S27" s="24" t="s">
        <v>196</v>
      </c>
      <c r="T27" s="24"/>
      <c r="U27" s="24">
        <v>43304</v>
      </c>
      <c r="V27" s="76" t="s">
        <v>323</v>
      </c>
      <c r="W27" s="29">
        <v>43304</v>
      </c>
      <c r="X27" s="131">
        <v>43305</v>
      </c>
      <c r="Y27" s="132">
        <v>43307</v>
      </c>
      <c r="Z27" s="29">
        <v>43297</v>
      </c>
      <c r="AA27" s="8">
        <v>43300</v>
      </c>
      <c r="AB27" s="65">
        <v>43325</v>
      </c>
      <c r="AC27" s="76" t="s">
        <v>366</v>
      </c>
      <c r="AD27" s="20">
        <f t="shared" si="6"/>
        <v>41</v>
      </c>
      <c r="AE27" s="15" t="s">
        <v>365</v>
      </c>
      <c r="AF27" s="163" t="s">
        <v>424</v>
      </c>
      <c r="AG27" s="32" t="s">
        <v>376</v>
      </c>
      <c r="AH27" s="12"/>
      <c r="AI27" s="2"/>
      <c r="AJ27" s="2"/>
      <c r="AK27" s="42" t="s">
        <v>316</v>
      </c>
      <c r="AL27" s="112"/>
    </row>
    <row r="28" spans="1:40" ht="33" customHeight="1">
      <c r="A28" s="5" t="s">
        <v>301</v>
      </c>
      <c r="B28" s="23" t="s">
        <v>24</v>
      </c>
      <c r="C28" s="23" t="s">
        <v>144</v>
      </c>
      <c r="D28" s="23" t="s">
        <v>124</v>
      </c>
      <c r="E28" s="91" t="s">
        <v>131</v>
      </c>
      <c r="F28" s="44" t="s">
        <v>157</v>
      </c>
      <c r="G28" s="23" t="s">
        <v>46</v>
      </c>
      <c r="H28" s="119" t="s">
        <v>160</v>
      </c>
      <c r="I28" s="23"/>
      <c r="J28" s="23"/>
      <c r="K28" s="23">
        <v>13</v>
      </c>
      <c r="L28" s="24">
        <v>43284</v>
      </c>
      <c r="M28" s="30">
        <v>43343</v>
      </c>
      <c r="N28" s="24">
        <v>43291</v>
      </c>
      <c r="O28" s="57">
        <v>35</v>
      </c>
      <c r="P28" s="54">
        <f t="shared" si="5"/>
        <v>43308</v>
      </c>
      <c r="Q28" s="80" t="s">
        <v>333</v>
      </c>
      <c r="R28" s="81" t="s">
        <v>11</v>
      </c>
      <c r="S28" s="24" t="s">
        <v>196</v>
      </c>
      <c r="T28" s="24"/>
      <c r="U28" s="24">
        <v>43356</v>
      </c>
      <c r="V28" s="76" t="s">
        <v>368</v>
      </c>
      <c r="W28" s="29">
        <v>43356</v>
      </c>
      <c r="X28" s="136">
        <v>43356</v>
      </c>
      <c r="Y28" s="132">
        <v>43384</v>
      </c>
      <c r="Z28" s="29" t="s">
        <v>111</v>
      </c>
      <c r="AA28" s="8" t="s">
        <v>111</v>
      </c>
      <c r="AB28" s="65">
        <v>43447</v>
      </c>
      <c r="AC28" s="76" t="str">
        <f ca="1">IF(AB28&lt;TODAY()-5,IF(AB28="","Еще рано","Уже не актуально"),IF(AB28&gt;TODAY()-2,"Еще рано","Пора отправлять"))</f>
        <v>Уже не актуально</v>
      </c>
      <c r="AD28" s="20">
        <f t="shared" si="6"/>
        <v>104</v>
      </c>
      <c r="AE28" s="15" t="s">
        <v>473</v>
      </c>
      <c r="AF28" s="163" t="s">
        <v>388</v>
      </c>
      <c r="AG28" s="32" t="s">
        <v>374</v>
      </c>
      <c r="AH28" s="12"/>
      <c r="AI28" s="2"/>
      <c r="AJ28" s="2"/>
      <c r="AK28" s="42" t="s">
        <v>316</v>
      </c>
      <c r="AL28" s="150"/>
    </row>
    <row r="29" spans="1:40" ht="33" customHeight="1">
      <c r="A29" s="5" t="s">
        <v>301</v>
      </c>
      <c r="B29" s="23" t="s">
        <v>24</v>
      </c>
      <c r="C29" s="23" t="s">
        <v>144</v>
      </c>
      <c r="D29" s="23" t="s">
        <v>124</v>
      </c>
      <c r="E29" s="91" t="s">
        <v>501</v>
      </c>
      <c r="F29" s="44" t="s">
        <v>157</v>
      </c>
      <c r="G29" s="106" t="s">
        <v>483</v>
      </c>
      <c r="H29" s="119" t="s">
        <v>535</v>
      </c>
      <c r="I29" s="23"/>
      <c r="J29" s="23"/>
      <c r="K29" s="23">
        <v>15</v>
      </c>
      <c r="L29" s="24">
        <v>43473</v>
      </c>
      <c r="M29" s="30">
        <v>43555</v>
      </c>
      <c r="N29" s="24"/>
      <c r="O29" s="57">
        <f>O28</f>
        <v>35</v>
      </c>
      <c r="P29" s="54">
        <f t="shared" si="5"/>
        <v>43520</v>
      </c>
      <c r="Q29" s="80" t="s">
        <v>550</v>
      </c>
      <c r="R29" s="81" t="s">
        <v>11</v>
      </c>
      <c r="S29" s="24"/>
      <c r="T29" s="24"/>
      <c r="U29" s="24">
        <f>M29</f>
        <v>43555</v>
      </c>
      <c r="V29" s="76" t="str">
        <f ca="1">IF(U29&gt;TODAY(),IF(U29&lt;TODAY()+17,"Пора отправлять","Еще рано"),"Уже не актуально")</f>
        <v>Уже не актуально</v>
      </c>
      <c r="W29" s="29"/>
      <c r="X29" s="131" t="str">
        <f ca="1">IF(U29&lt;=TODAY()+10,"Пора","Рано")</f>
        <v>Пора</v>
      </c>
      <c r="Y29" s="132"/>
      <c r="Z29" s="29"/>
      <c r="AA29" s="22" t="str">
        <f>IF(Z29="","Рано","когда?")</f>
        <v>Рано</v>
      </c>
      <c r="AB29" s="65"/>
      <c r="AC29" s="76" t="str">
        <f ca="1">IF(AB29&lt;TODAY()-5,IF(AB29="","Еще рано","Уже не актуально"),IF(AB29&gt;TODAY()-2,"Еще рано","Пора отправлять"))</f>
        <v>Еще рано</v>
      </c>
      <c r="AD29" s="20">
        <f t="shared" si="6"/>
        <v>-43555</v>
      </c>
      <c r="AE29" s="15"/>
      <c r="AF29" s="163" t="s">
        <v>502</v>
      </c>
      <c r="AG29" s="32" t="s">
        <v>374</v>
      </c>
      <c r="AH29" s="12"/>
      <c r="AI29" s="2"/>
      <c r="AJ29" s="2"/>
      <c r="AK29" s="42" t="s">
        <v>316</v>
      </c>
      <c r="AL29" s="189"/>
    </row>
    <row r="30" spans="1:40" ht="33" customHeight="1">
      <c r="A30" s="5" t="s">
        <v>301</v>
      </c>
      <c r="B30" s="23" t="s">
        <v>24</v>
      </c>
      <c r="C30" s="23" t="s">
        <v>144</v>
      </c>
      <c r="D30" s="23" t="s">
        <v>124</v>
      </c>
      <c r="E30" s="91" t="s">
        <v>501</v>
      </c>
      <c r="F30" s="44" t="s">
        <v>157</v>
      </c>
      <c r="G30" s="106" t="s">
        <v>483</v>
      </c>
      <c r="H30" s="119" t="s">
        <v>34</v>
      </c>
      <c r="I30" s="23"/>
      <c r="J30" s="23"/>
      <c r="K30" s="23"/>
      <c r="L30" s="24"/>
      <c r="M30" s="30"/>
      <c r="N30" s="24"/>
      <c r="O30" s="57"/>
      <c r="P30" s="54"/>
      <c r="Q30" s="80" t="str">
        <f ca="1">IF(P30&gt;=TODAY()-5,IF(P30&lt;TODAY()+6,"Пора отправлять","Еще рано"),"Уже не актуально")</f>
        <v>Уже не актуально</v>
      </c>
      <c r="R30" s="81"/>
      <c r="S30" s="24"/>
      <c r="T30" s="24"/>
      <c r="U30" s="24"/>
      <c r="V30" s="76" t="str">
        <f ca="1">IF(U30&gt;TODAY(),IF(U30&lt;TODAY()+17,"Пора отправлять","Еще рано"),"Уже не актуально")</f>
        <v>Уже не актуально</v>
      </c>
      <c r="W30" s="29"/>
      <c r="X30" s="131" t="str">
        <f ca="1">IF(U30&lt;=TODAY()+10,"Пора","Рано")</f>
        <v>Пора</v>
      </c>
      <c r="Y30" s="132"/>
      <c r="Z30" s="29"/>
      <c r="AA30" s="22" t="str">
        <f>IF(Z30="","Рано","когда?")</f>
        <v>Рано</v>
      </c>
      <c r="AB30" s="65"/>
      <c r="AC30" s="76" t="str">
        <f ca="1">IF(AB30&lt;TODAY()-5,IF(AB30="","Еще рано","Уже не актуально"),IF(AB30&gt;TODAY()-2,"Еще рано","Пора отправлять"))</f>
        <v>Еще рано</v>
      </c>
      <c r="AD30" s="20">
        <f t="shared" si="6"/>
        <v>0</v>
      </c>
      <c r="AE30" s="15"/>
      <c r="AF30" s="163"/>
      <c r="AG30" s="32" t="s">
        <v>374</v>
      </c>
      <c r="AH30" s="12"/>
      <c r="AI30" s="2"/>
      <c r="AJ30" s="2"/>
      <c r="AK30" s="42" t="s">
        <v>316</v>
      </c>
      <c r="AL30" s="193"/>
    </row>
    <row r="32" spans="1:40" ht="78.75">
      <c r="D32" s="127" t="s">
        <v>300</v>
      </c>
      <c r="E32" s="23" t="s">
        <v>23</v>
      </c>
      <c r="F32" s="23" t="s">
        <v>141</v>
      </c>
      <c r="G32" s="23" t="s">
        <v>118</v>
      </c>
      <c r="H32" s="90" t="s">
        <v>129</v>
      </c>
      <c r="I32" s="44" t="s">
        <v>157</v>
      </c>
      <c r="J32" s="23" t="s">
        <v>4</v>
      </c>
      <c r="K32" s="119">
        <v>15</v>
      </c>
      <c r="L32" s="23" t="s">
        <v>11</v>
      </c>
      <c r="M32" s="23" t="s">
        <v>11</v>
      </c>
      <c r="N32" s="23"/>
      <c r="O32" s="24">
        <v>42950</v>
      </c>
      <c r="P32" s="136">
        <v>43023</v>
      </c>
      <c r="Q32" s="29">
        <v>42961</v>
      </c>
      <c r="R32" s="57">
        <v>60</v>
      </c>
      <c r="S32" s="134">
        <f t="shared" ref="S32:S42" si="7">P32-R32</f>
        <v>42963</v>
      </c>
      <c r="T32" s="135" t="str">
        <f ca="1">IF(S32&gt;=TODAY()-5,IF(S32&lt;TODAY()+6,"Пора отправлять","Еще рано"),"Уже не актуально")</f>
        <v>Уже не актуально</v>
      </c>
      <c r="U32" s="63" t="s">
        <v>11</v>
      </c>
      <c r="V32" s="29"/>
      <c r="W32" s="29"/>
      <c r="X32" s="132">
        <v>43018</v>
      </c>
      <c r="Y32" s="108" t="str">
        <f ca="1">IF(X32&gt;TODAY(),IF(X32&lt;TODAY()+17,"Пора отправлять","Еще рано"),"Уже не актуально")</f>
        <v>Уже не актуально</v>
      </c>
      <c r="Z32" s="132">
        <v>43018</v>
      </c>
      <c r="AA32" s="132">
        <v>43022</v>
      </c>
      <c r="AB32" s="29">
        <v>43025</v>
      </c>
      <c r="AC32" s="29">
        <v>43025</v>
      </c>
      <c r="AD32" s="29" t="s">
        <v>111</v>
      </c>
      <c r="AE32" s="65">
        <v>43025</v>
      </c>
      <c r="AF32" s="108" t="str">
        <f ca="1">IF(AE32&lt;TODAY()-5,IF(AE32="","Еще рано","Уже не актуально"),IF(AE32&gt;TODAY()-2,"Еще рано","Пора отправлять"))</f>
        <v>Уже не актуально</v>
      </c>
      <c r="AG32" s="61">
        <f t="shared" ref="AG32:AG42" si="8">AE32-P32</f>
        <v>2</v>
      </c>
      <c r="AH32" s="162"/>
      <c r="AI32" s="162"/>
      <c r="AJ32" s="32"/>
      <c r="AK32" s="12"/>
      <c r="AL32" s="2"/>
      <c r="AM32" s="2"/>
      <c r="AN32" s="42" t="s">
        <v>317</v>
      </c>
    </row>
    <row r="33" spans="4:40" ht="121.5">
      <c r="D33" s="127" t="s">
        <v>300</v>
      </c>
      <c r="E33" s="23" t="s">
        <v>23</v>
      </c>
      <c r="F33" s="23" t="s">
        <v>141</v>
      </c>
      <c r="G33" s="23" t="s">
        <v>118</v>
      </c>
      <c r="H33" s="90" t="s">
        <v>129</v>
      </c>
      <c r="I33" s="44" t="s">
        <v>157</v>
      </c>
      <c r="J33" s="23" t="s">
        <v>46</v>
      </c>
      <c r="K33" s="119">
        <v>16</v>
      </c>
      <c r="L33" s="23"/>
      <c r="M33" s="23"/>
      <c r="N33" s="23"/>
      <c r="O33" s="24">
        <v>42972</v>
      </c>
      <c r="P33" s="136">
        <v>43044</v>
      </c>
      <c r="Q33" s="29">
        <v>43048</v>
      </c>
      <c r="R33" s="57">
        <v>60</v>
      </c>
      <c r="S33" s="134">
        <f t="shared" si="7"/>
        <v>42984</v>
      </c>
      <c r="T33" s="135" t="str">
        <f ca="1">IF(S33&gt;=TODAY()-5,IF(S33&lt;TODAY()+6,"Пора отправлять","Еще рано"),"Уже не актуально")</f>
        <v>Уже не актуально</v>
      </c>
      <c r="U33" s="63" t="s">
        <v>11</v>
      </c>
      <c r="V33" s="29"/>
      <c r="W33" s="29"/>
      <c r="X33" s="132">
        <v>43045</v>
      </c>
      <c r="Y33" s="108" t="str">
        <f ca="1">IF(X33&gt;TODAY(),IF(X33&lt;TODAY()+17,"Пора отправлять","Еще рано"),"Уже не актуально")</f>
        <v>Уже не актуально</v>
      </c>
      <c r="Z33" s="132">
        <v>43049</v>
      </c>
      <c r="AA33" s="132">
        <v>43049</v>
      </c>
      <c r="AB33" s="29">
        <v>43053</v>
      </c>
      <c r="AC33" s="29">
        <v>43046</v>
      </c>
      <c r="AD33" s="29" t="s">
        <v>111</v>
      </c>
      <c r="AE33" s="65">
        <v>43054</v>
      </c>
      <c r="AF33" s="108" t="str">
        <f ca="1">IF(AE33&lt;TODAY()-5,IF(AE33="","Еще рано","Уже не актуально"),IF(AE33&gt;TODAY()-2,"Еще рано","Пора отправлять"))</f>
        <v>Уже не актуально</v>
      </c>
      <c r="AG33" s="61">
        <f t="shared" si="8"/>
        <v>10</v>
      </c>
      <c r="AH33" s="162" t="s">
        <v>105</v>
      </c>
      <c r="AI33" s="162"/>
      <c r="AJ33" s="32"/>
      <c r="AK33" s="12"/>
      <c r="AL33" s="2"/>
      <c r="AM33" s="2"/>
      <c r="AN33" s="42" t="s">
        <v>317</v>
      </c>
    </row>
    <row r="34" spans="4:40" ht="121.5">
      <c r="D34" s="127" t="s">
        <v>300</v>
      </c>
      <c r="E34" s="23" t="s">
        <v>23</v>
      </c>
      <c r="F34" s="23" t="s">
        <v>141</v>
      </c>
      <c r="G34" s="23" t="s">
        <v>118</v>
      </c>
      <c r="H34" s="90" t="s">
        <v>129</v>
      </c>
      <c r="I34" s="44" t="s">
        <v>157</v>
      </c>
      <c r="J34" s="23" t="s">
        <v>46</v>
      </c>
      <c r="K34" s="119">
        <v>17</v>
      </c>
      <c r="L34" s="23" t="s">
        <v>11</v>
      </c>
      <c r="M34" s="23" t="s">
        <v>11</v>
      </c>
      <c r="N34" s="23">
        <v>54</v>
      </c>
      <c r="O34" s="24">
        <v>42976</v>
      </c>
      <c r="P34" s="136">
        <v>43079</v>
      </c>
      <c r="Q34" s="29">
        <v>43048</v>
      </c>
      <c r="R34" s="57">
        <v>60</v>
      </c>
      <c r="S34" s="134">
        <f t="shared" si="7"/>
        <v>43019</v>
      </c>
      <c r="T34" s="135" t="str">
        <f ca="1">IF(S34&gt;=TODAY()-5,IF(S34&lt;TODAY()+6,"Пора отправлять","Еще рано"),"Уже не актуально")</f>
        <v>Уже не актуально</v>
      </c>
      <c r="U34" s="63" t="s">
        <v>11</v>
      </c>
      <c r="V34" s="29"/>
      <c r="W34" s="29"/>
      <c r="X34" s="132">
        <v>43074</v>
      </c>
      <c r="Y34" s="108" t="s">
        <v>163</v>
      </c>
      <c r="Z34" s="132">
        <v>43074</v>
      </c>
      <c r="AA34" s="131">
        <v>43078</v>
      </c>
      <c r="AB34" s="29">
        <v>43081</v>
      </c>
      <c r="AC34" s="29">
        <v>43056</v>
      </c>
      <c r="AD34" s="29">
        <v>43069</v>
      </c>
      <c r="AE34" s="65">
        <v>43082</v>
      </c>
      <c r="AF34" s="108" t="s">
        <v>163</v>
      </c>
      <c r="AG34" s="61">
        <f t="shared" si="8"/>
        <v>3</v>
      </c>
      <c r="AH34" s="162" t="s">
        <v>195</v>
      </c>
      <c r="AI34" s="99" t="s">
        <v>171</v>
      </c>
      <c r="AJ34" s="32"/>
      <c r="AK34" s="12"/>
      <c r="AL34" s="2"/>
      <c r="AM34" s="2"/>
      <c r="AN34" s="42" t="s">
        <v>317</v>
      </c>
    </row>
    <row r="35" spans="4:40" ht="148.5">
      <c r="D35" s="127" t="s">
        <v>300</v>
      </c>
      <c r="E35" s="23" t="s">
        <v>23</v>
      </c>
      <c r="F35" s="23" t="s">
        <v>141</v>
      </c>
      <c r="G35" s="23" t="s">
        <v>118</v>
      </c>
      <c r="H35" s="90" t="s">
        <v>129</v>
      </c>
      <c r="I35" s="44" t="s">
        <v>157</v>
      </c>
      <c r="J35" s="23" t="s">
        <v>46</v>
      </c>
      <c r="K35" s="119">
        <v>18</v>
      </c>
      <c r="L35" s="102"/>
      <c r="M35" s="102"/>
      <c r="N35" s="23">
        <v>49</v>
      </c>
      <c r="O35" s="24">
        <v>43039</v>
      </c>
      <c r="P35" s="136">
        <v>43110</v>
      </c>
      <c r="Q35" s="29">
        <v>43048</v>
      </c>
      <c r="R35" s="57">
        <v>60</v>
      </c>
      <c r="S35" s="134">
        <f t="shared" si="7"/>
        <v>43050</v>
      </c>
      <c r="T35" s="135" t="str">
        <f ca="1">IF(S35&gt;=TODAY()-5,IF(S35&lt;TODAY()+6,"Пора отправлять","Еще рано"),"Уже не актуально")</f>
        <v>Уже не актуально</v>
      </c>
      <c r="U35" s="63" t="s">
        <v>11</v>
      </c>
      <c r="V35" s="51"/>
      <c r="W35" s="51"/>
      <c r="X35" s="132">
        <f>P35</f>
        <v>43110</v>
      </c>
      <c r="Y35" s="108" t="s">
        <v>204</v>
      </c>
      <c r="Z35" s="132">
        <v>43137</v>
      </c>
      <c r="AA35" s="29" t="s">
        <v>177</v>
      </c>
      <c r="AB35" s="29" t="s">
        <v>177</v>
      </c>
      <c r="AC35" s="29">
        <v>43110</v>
      </c>
      <c r="AD35" s="29">
        <v>43118</v>
      </c>
      <c r="AE35" s="65">
        <v>43140</v>
      </c>
      <c r="AF35" s="108" t="str">
        <f ca="1">IF(AE35&lt;TODAY()-5,IF(AE35="","Еще рано","Уже не актуально"),IF(AE35&gt;TODAY()-2,"Еще рано","Пора отправлять"))</f>
        <v>Уже не актуально</v>
      </c>
      <c r="AG35" s="61">
        <f t="shared" si="8"/>
        <v>30</v>
      </c>
      <c r="AH35" s="15" t="s">
        <v>216</v>
      </c>
      <c r="AI35" s="99" t="s">
        <v>223</v>
      </c>
      <c r="AJ35" s="32"/>
      <c r="AK35" s="12" t="s">
        <v>224</v>
      </c>
      <c r="AL35" s="2" t="s">
        <v>225</v>
      </c>
      <c r="AM35" s="2" t="s">
        <v>226</v>
      </c>
      <c r="AN35" s="42" t="s">
        <v>317</v>
      </c>
    </row>
    <row r="36" spans="4:40" ht="135">
      <c r="D36" s="127" t="s">
        <v>300</v>
      </c>
      <c r="E36" s="23" t="s">
        <v>23</v>
      </c>
      <c r="F36" s="23" t="s">
        <v>141</v>
      </c>
      <c r="G36" s="23" t="s">
        <v>118</v>
      </c>
      <c r="H36" s="90" t="s">
        <v>129</v>
      </c>
      <c r="I36" s="44" t="s">
        <v>157</v>
      </c>
      <c r="J36" s="23" t="s">
        <v>46</v>
      </c>
      <c r="K36" s="119">
        <v>19</v>
      </c>
      <c r="L36" s="102"/>
      <c r="M36" s="102"/>
      <c r="N36" s="23">
        <v>22</v>
      </c>
      <c r="O36" s="24">
        <v>43070</v>
      </c>
      <c r="P36" s="136">
        <v>43189</v>
      </c>
      <c r="Q36" s="134">
        <v>43081</v>
      </c>
      <c r="R36" s="57">
        <v>60</v>
      </c>
      <c r="S36" s="134">
        <f t="shared" si="7"/>
        <v>43129</v>
      </c>
      <c r="T36" s="135" t="s">
        <v>220</v>
      </c>
      <c r="U36" s="63" t="s">
        <v>11</v>
      </c>
      <c r="V36" s="51"/>
      <c r="W36" s="51"/>
      <c r="X36" s="132">
        <v>43186</v>
      </c>
      <c r="Y36" s="108" t="s">
        <v>247</v>
      </c>
      <c r="Z36" s="132">
        <v>43184</v>
      </c>
      <c r="AA36" s="132">
        <v>43187</v>
      </c>
      <c r="AB36" s="29" t="s">
        <v>263</v>
      </c>
      <c r="AC36" s="29">
        <v>43173</v>
      </c>
      <c r="AD36" s="29">
        <v>43260</v>
      </c>
      <c r="AE36" s="65">
        <v>43264</v>
      </c>
      <c r="AF36" s="108" t="s">
        <v>304</v>
      </c>
      <c r="AG36" s="61">
        <f t="shared" si="8"/>
        <v>75</v>
      </c>
      <c r="AH36" s="114" t="s">
        <v>268</v>
      </c>
      <c r="AI36" s="113" t="s">
        <v>297</v>
      </c>
      <c r="AJ36" s="32"/>
      <c r="AK36" s="12"/>
      <c r="AL36" s="2"/>
      <c r="AM36" s="2"/>
      <c r="AN36" s="42" t="s">
        <v>317</v>
      </c>
    </row>
    <row r="37" spans="4:40" ht="162">
      <c r="D37" s="127" t="s">
        <v>300</v>
      </c>
      <c r="E37" s="23" t="s">
        <v>23</v>
      </c>
      <c r="F37" s="23" t="s">
        <v>141</v>
      </c>
      <c r="G37" s="23" t="s">
        <v>118</v>
      </c>
      <c r="H37" s="90" t="s">
        <v>129</v>
      </c>
      <c r="I37" s="44" t="s">
        <v>157</v>
      </c>
      <c r="J37" s="23" t="s">
        <v>46</v>
      </c>
      <c r="K37" s="119">
        <v>20</v>
      </c>
      <c r="L37" s="102"/>
      <c r="M37" s="102"/>
      <c r="N37" s="23"/>
      <c r="O37" s="24">
        <v>43097</v>
      </c>
      <c r="P37" s="136">
        <v>43205</v>
      </c>
      <c r="Q37" s="29">
        <v>43097</v>
      </c>
      <c r="R37" s="57">
        <v>60</v>
      </c>
      <c r="S37" s="134">
        <f t="shared" si="7"/>
        <v>43145</v>
      </c>
      <c r="T37" s="135" t="str">
        <f ca="1">IF(S37&gt;=TODAY()-5,IF(S37&lt;TODAY()+6,"Пора отправлять","Еще рано"),"Уже не актуально")</f>
        <v>Уже не актуально</v>
      </c>
      <c r="U37" s="63" t="s">
        <v>11</v>
      </c>
      <c r="V37" s="51"/>
      <c r="W37" s="51"/>
      <c r="X37" s="132">
        <v>43215</v>
      </c>
      <c r="Y37" s="108" t="s">
        <v>260</v>
      </c>
      <c r="Z37" s="132">
        <v>43215</v>
      </c>
      <c r="AA37" s="132">
        <v>43222</v>
      </c>
      <c r="AB37" s="29">
        <v>43227</v>
      </c>
      <c r="AC37" s="29">
        <v>43227</v>
      </c>
      <c r="AD37" s="29">
        <v>43228</v>
      </c>
      <c r="AE37" s="65">
        <v>43236</v>
      </c>
      <c r="AF37" s="108" t="str">
        <f ca="1">IF(AE37&lt;TODAY()-5,IF(AE37="","Еще рано","Уже не актуально"),IF(AE37&gt;TODAY()-2,"Еще рано","Пора отправлять"))</f>
        <v>Уже не актуально</v>
      </c>
      <c r="AG37" s="61">
        <f t="shared" si="8"/>
        <v>31</v>
      </c>
      <c r="AH37" s="162" t="s">
        <v>273</v>
      </c>
      <c r="AI37" s="99"/>
      <c r="AJ37" s="32"/>
      <c r="AK37" s="12"/>
      <c r="AL37" s="2"/>
      <c r="AM37" s="2"/>
      <c r="AN37" s="42" t="s">
        <v>317</v>
      </c>
    </row>
    <row r="38" spans="4:40" ht="78.75">
      <c r="D38" s="127" t="s">
        <v>300</v>
      </c>
      <c r="E38" s="23" t="s">
        <v>23</v>
      </c>
      <c r="F38" s="23" t="s">
        <v>141</v>
      </c>
      <c r="G38" s="23" t="s">
        <v>118</v>
      </c>
      <c r="H38" s="90" t="s">
        <v>129</v>
      </c>
      <c r="I38" s="44" t="s">
        <v>157</v>
      </c>
      <c r="J38" s="23" t="s">
        <v>282</v>
      </c>
      <c r="K38" s="119">
        <v>21</v>
      </c>
      <c r="L38" s="102"/>
      <c r="M38" s="102"/>
      <c r="N38" s="23"/>
      <c r="O38" s="24">
        <v>43129</v>
      </c>
      <c r="P38" s="136">
        <v>43245</v>
      </c>
      <c r="Q38" s="29"/>
      <c r="R38" s="57">
        <v>60</v>
      </c>
      <c r="S38" s="134">
        <f t="shared" si="7"/>
        <v>43185</v>
      </c>
      <c r="T38" s="135" t="str">
        <f ca="1">IF(S38&gt;=TODAY()-5,IF(S38&lt;TODAY()+6,"Пора отправлять","Еще рано"),"Уже не актуально")</f>
        <v>Уже не актуально</v>
      </c>
      <c r="U38" s="63" t="s">
        <v>11</v>
      </c>
      <c r="V38" s="51"/>
      <c r="W38" s="51"/>
      <c r="X38" s="132">
        <f>P38</f>
        <v>43245</v>
      </c>
      <c r="Y38" s="108" t="str">
        <f ca="1">IF(X38&gt;TODAY(),IF(X38&lt;TODAY()+17,"Пора отправлять","Еще рано"),"Уже не актуально")</f>
        <v>Уже не актуально</v>
      </c>
      <c r="Z38" s="132">
        <v>43256</v>
      </c>
      <c r="AA38" s="131">
        <v>43262</v>
      </c>
      <c r="AB38" s="155" t="s">
        <v>302</v>
      </c>
      <c r="AC38" s="29">
        <v>43252</v>
      </c>
      <c r="AD38" s="29" t="s">
        <v>111</v>
      </c>
      <c r="AE38" s="65">
        <v>43262</v>
      </c>
      <c r="AF38" s="108" t="s">
        <v>298</v>
      </c>
      <c r="AG38" s="61">
        <f t="shared" si="8"/>
        <v>17</v>
      </c>
      <c r="AH38" s="162"/>
      <c r="AI38" s="99"/>
      <c r="AJ38" s="32"/>
      <c r="AK38" s="12"/>
      <c r="AL38" s="2"/>
      <c r="AM38" s="2"/>
      <c r="AN38" s="42" t="s">
        <v>317</v>
      </c>
    </row>
    <row r="39" spans="4:40" ht="256.5">
      <c r="D39" s="127" t="s">
        <v>300</v>
      </c>
      <c r="E39" s="23" t="s">
        <v>23</v>
      </c>
      <c r="F39" s="23" t="s">
        <v>141</v>
      </c>
      <c r="G39" s="23" t="s">
        <v>118</v>
      </c>
      <c r="H39" s="90" t="s">
        <v>129</v>
      </c>
      <c r="I39" s="44" t="s">
        <v>157</v>
      </c>
      <c r="J39" s="23" t="s">
        <v>282</v>
      </c>
      <c r="K39" s="119" t="s">
        <v>174</v>
      </c>
      <c r="L39" s="102"/>
      <c r="M39" s="102"/>
      <c r="N39" s="102">
        <v>130</v>
      </c>
      <c r="O39" s="103">
        <v>43227</v>
      </c>
      <c r="P39" s="206">
        <v>43311</v>
      </c>
      <c r="Q39" s="29">
        <v>43227</v>
      </c>
      <c r="R39" s="57">
        <v>60</v>
      </c>
      <c r="S39" s="134">
        <f t="shared" si="7"/>
        <v>43251</v>
      </c>
      <c r="T39" s="135" t="s">
        <v>296</v>
      </c>
      <c r="U39" s="63" t="s">
        <v>11</v>
      </c>
      <c r="V39" s="51"/>
      <c r="W39" s="51"/>
      <c r="X39" s="132">
        <v>43301</v>
      </c>
      <c r="Y39" s="108" t="s">
        <v>323</v>
      </c>
      <c r="Z39" s="132">
        <v>43301</v>
      </c>
      <c r="AA39" s="131">
        <v>43309</v>
      </c>
      <c r="AB39" s="29">
        <v>43312</v>
      </c>
      <c r="AC39" s="29">
        <v>43298</v>
      </c>
      <c r="AD39" s="29">
        <v>43298</v>
      </c>
      <c r="AE39" s="65">
        <v>43321</v>
      </c>
      <c r="AF39" s="108" t="s">
        <v>358</v>
      </c>
      <c r="AG39" s="61">
        <f t="shared" si="8"/>
        <v>10</v>
      </c>
      <c r="AH39" s="162" t="s">
        <v>348</v>
      </c>
      <c r="AI39" s="99"/>
      <c r="AJ39" s="32"/>
      <c r="AK39" s="12"/>
      <c r="AL39" s="2"/>
      <c r="AM39" s="2"/>
      <c r="AN39" s="42" t="s">
        <v>317</v>
      </c>
    </row>
    <row r="40" spans="4:40" ht="78.75">
      <c r="D40" s="127" t="s">
        <v>300</v>
      </c>
      <c r="E40" s="23" t="s">
        <v>23</v>
      </c>
      <c r="F40" s="23" t="s">
        <v>141</v>
      </c>
      <c r="G40" s="23" t="s">
        <v>118</v>
      </c>
      <c r="H40" s="90" t="s">
        <v>129</v>
      </c>
      <c r="I40" s="44" t="s">
        <v>157</v>
      </c>
      <c r="J40" s="23" t="s">
        <v>282</v>
      </c>
      <c r="K40" s="119">
        <v>23</v>
      </c>
      <c r="L40" s="102"/>
      <c r="M40" s="102"/>
      <c r="N40" s="102"/>
      <c r="O40" s="103">
        <v>43218</v>
      </c>
      <c r="P40" s="206">
        <v>43266</v>
      </c>
      <c r="Q40" s="29"/>
      <c r="R40" s="124">
        <v>60</v>
      </c>
      <c r="S40" s="134">
        <f t="shared" si="7"/>
        <v>43206</v>
      </c>
      <c r="T40" s="135" t="str">
        <f ca="1">IF(S40&gt;=TODAY()-5,IF(S40&lt;TODAY()+6,"Пора отправлять","Еще рано"),"Уже не актуально")</f>
        <v>Уже не актуально</v>
      </c>
      <c r="U40" s="63" t="s">
        <v>11</v>
      </c>
      <c r="V40" s="51"/>
      <c r="W40" s="51"/>
      <c r="X40" s="132">
        <f>P40</f>
        <v>43266</v>
      </c>
      <c r="Y40" s="108" t="s">
        <v>203</v>
      </c>
      <c r="Z40" s="132">
        <v>43259</v>
      </c>
      <c r="AA40" s="131">
        <v>43262</v>
      </c>
      <c r="AB40" s="155" t="s">
        <v>302</v>
      </c>
      <c r="AC40" s="29">
        <v>43252</v>
      </c>
      <c r="AD40" s="29" t="s">
        <v>111</v>
      </c>
      <c r="AE40" s="65">
        <v>43262</v>
      </c>
      <c r="AF40" s="108" t="s">
        <v>298</v>
      </c>
      <c r="AG40" s="61">
        <f t="shared" si="8"/>
        <v>-4</v>
      </c>
      <c r="AH40" s="162"/>
      <c r="AI40" s="99"/>
      <c r="AJ40" s="32"/>
      <c r="AK40" s="12"/>
      <c r="AL40" s="2"/>
      <c r="AM40" s="2"/>
      <c r="AN40" s="42" t="s">
        <v>317</v>
      </c>
    </row>
    <row r="41" spans="4:40" ht="78.75">
      <c r="D41" s="127" t="s">
        <v>300</v>
      </c>
      <c r="E41" s="23" t="s">
        <v>23</v>
      </c>
      <c r="F41" s="23" t="s">
        <v>141</v>
      </c>
      <c r="G41" s="23" t="s">
        <v>118</v>
      </c>
      <c r="H41" s="90" t="s">
        <v>129</v>
      </c>
      <c r="I41" s="44" t="s">
        <v>157</v>
      </c>
      <c r="J41" s="23" t="s">
        <v>282</v>
      </c>
      <c r="K41" s="119">
        <v>24</v>
      </c>
      <c r="L41" s="102"/>
      <c r="M41" s="102"/>
      <c r="N41" s="102">
        <v>23</v>
      </c>
      <c r="O41" s="103">
        <v>43251</v>
      </c>
      <c r="P41" s="206">
        <v>43322</v>
      </c>
      <c r="Q41" s="29"/>
      <c r="R41" s="124">
        <v>60</v>
      </c>
      <c r="S41" s="134">
        <f t="shared" si="7"/>
        <v>43262</v>
      </c>
      <c r="T41" s="135" t="s">
        <v>298</v>
      </c>
      <c r="U41" s="63" t="s">
        <v>11</v>
      </c>
      <c r="V41" s="51" t="s">
        <v>196</v>
      </c>
      <c r="W41" s="51"/>
      <c r="X41" s="132">
        <f>P41</f>
        <v>43322</v>
      </c>
      <c r="Y41" s="108" t="s">
        <v>335</v>
      </c>
      <c r="Z41" s="132">
        <v>43314</v>
      </c>
      <c r="AA41" s="131">
        <v>43320</v>
      </c>
      <c r="AB41" s="29">
        <v>43320</v>
      </c>
      <c r="AC41" s="29">
        <v>43312</v>
      </c>
      <c r="AD41" s="29" t="s">
        <v>111</v>
      </c>
      <c r="AE41" s="65">
        <v>43328</v>
      </c>
      <c r="AF41" s="108" t="s">
        <v>360</v>
      </c>
      <c r="AG41" s="61">
        <f t="shared" si="8"/>
        <v>6</v>
      </c>
      <c r="AH41" s="162" t="s">
        <v>355</v>
      </c>
      <c r="AI41" s="99"/>
      <c r="AJ41" s="32"/>
      <c r="AK41" s="12"/>
      <c r="AL41" s="2"/>
      <c r="AM41" s="2"/>
      <c r="AN41" s="42" t="s">
        <v>317</v>
      </c>
    </row>
    <row r="42" spans="4:40" ht="216">
      <c r="D42" s="127" t="s">
        <v>300</v>
      </c>
      <c r="E42" s="23" t="s">
        <v>23</v>
      </c>
      <c r="F42" s="23" t="s">
        <v>141</v>
      </c>
      <c r="G42" s="23" t="s">
        <v>118</v>
      </c>
      <c r="H42" s="90" t="s">
        <v>129</v>
      </c>
      <c r="I42" s="44" t="s">
        <v>157</v>
      </c>
      <c r="J42" s="23" t="s">
        <v>282</v>
      </c>
      <c r="K42" s="119">
        <v>25</v>
      </c>
      <c r="L42" s="102"/>
      <c r="M42" s="102"/>
      <c r="N42" s="102">
        <v>17.3</v>
      </c>
      <c r="O42" s="103">
        <v>43276</v>
      </c>
      <c r="P42" s="206">
        <v>43353</v>
      </c>
      <c r="Q42" s="29"/>
      <c r="R42" s="124">
        <v>60</v>
      </c>
      <c r="S42" s="134">
        <f t="shared" si="7"/>
        <v>43293</v>
      </c>
      <c r="T42" s="135" t="s">
        <v>319</v>
      </c>
      <c r="U42" s="63" t="s">
        <v>11</v>
      </c>
      <c r="V42" s="51" t="s">
        <v>196</v>
      </c>
      <c r="W42" s="51"/>
      <c r="X42" s="132">
        <f>P42</f>
        <v>43353</v>
      </c>
      <c r="Y42" s="108" t="s">
        <v>364</v>
      </c>
      <c r="Z42" s="132">
        <v>43330</v>
      </c>
      <c r="AA42" s="131">
        <v>43335</v>
      </c>
      <c r="AB42" s="171" t="s">
        <v>111</v>
      </c>
      <c r="AC42" s="29">
        <v>43329</v>
      </c>
      <c r="AD42" s="29" t="s">
        <v>111</v>
      </c>
      <c r="AE42" s="65">
        <v>43382</v>
      </c>
      <c r="AF42" s="108" t="str">
        <f ca="1">IF(AE42&lt;TODAY()-5,IF(AE42="","Еще рано","Уже не актуально"),IF(AE42&gt;TODAY()-2,"Еще рано","Пора отправлять"))</f>
        <v>Уже не актуально</v>
      </c>
      <c r="AG42" s="61">
        <f t="shared" si="8"/>
        <v>29</v>
      </c>
      <c r="AH42" s="160" t="s">
        <v>437</v>
      </c>
      <c r="AI42" s="159" t="s">
        <v>389</v>
      </c>
      <c r="AJ42" s="32"/>
      <c r="AK42" s="12"/>
      <c r="AL42" s="2"/>
      <c r="AM42" s="2"/>
      <c r="AN42" s="42" t="s">
        <v>317</v>
      </c>
    </row>
    <row r="44" spans="4:40" ht="135">
      <c r="D44" s="142" t="s">
        <v>300</v>
      </c>
      <c r="E44" s="143" t="s">
        <v>16</v>
      </c>
      <c r="F44" s="143" t="s">
        <v>138</v>
      </c>
      <c r="G44" s="143" t="s">
        <v>115</v>
      </c>
      <c r="H44" s="144" t="s">
        <v>126</v>
      </c>
      <c r="I44" s="144" t="s">
        <v>157</v>
      </c>
      <c r="J44" s="143" t="s">
        <v>46</v>
      </c>
      <c r="K44" s="145" t="s">
        <v>54</v>
      </c>
      <c r="L44" s="143" t="s">
        <v>11</v>
      </c>
      <c r="M44" s="143" t="s">
        <v>11</v>
      </c>
      <c r="N44" s="143">
        <v>60</v>
      </c>
      <c r="O44" s="146">
        <v>42978</v>
      </c>
      <c r="P44" s="136">
        <v>43018</v>
      </c>
      <c r="Q44" s="29">
        <v>42996</v>
      </c>
      <c r="R44" s="147">
        <v>30</v>
      </c>
      <c r="S44" s="134">
        <f t="shared" ref="S44:S70" si="9">P44-R44</f>
        <v>42988</v>
      </c>
      <c r="T44" s="135" t="str">
        <f ca="1">IF(S44&gt;=TODAY()-5,IF(S44&lt;TODAY()+6,"Пора отправлять","Еще рано"),"Уже не актуально")</f>
        <v>Уже не актуально</v>
      </c>
      <c r="U44" s="63" t="s">
        <v>11</v>
      </c>
      <c r="V44" s="29"/>
      <c r="W44" s="29"/>
      <c r="X44" s="132">
        <v>43018</v>
      </c>
      <c r="Y44" s="108" t="str">
        <f ca="1">IF(X44&gt;TODAY(),IF(X44&lt;TODAY()+17,"Пора отправлять","Еще рано"),"Уже не актуально")</f>
        <v>Уже не актуально</v>
      </c>
      <c r="Z44" s="132">
        <v>43049</v>
      </c>
      <c r="AA44" s="136">
        <v>43052</v>
      </c>
      <c r="AB44" s="132">
        <v>43052</v>
      </c>
      <c r="AC44" s="136" t="s">
        <v>111</v>
      </c>
      <c r="AD44" s="136" t="s">
        <v>111</v>
      </c>
      <c r="AE44" s="157">
        <v>43054</v>
      </c>
      <c r="AF44" s="108" t="str">
        <f ca="1">IF(AE44&lt;TODAY()-5,IF(AE44="","Еще рано","Уже не актуально"),IF(AE44&gt;TODAY()-2,"Еще рано","Пора отправлять"))</f>
        <v>Уже не актуально</v>
      </c>
      <c r="AG44" s="61">
        <f t="shared" ref="AG44:AG70" si="10">AE44-P44</f>
        <v>36</v>
      </c>
      <c r="AH44" s="15" t="s">
        <v>71</v>
      </c>
      <c r="AI44" s="15"/>
      <c r="AJ44" s="32"/>
      <c r="AK44" s="12"/>
      <c r="AL44" s="2"/>
      <c r="AM44" s="2"/>
      <c r="AN44" s="42" t="s">
        <v>317</v>
      </c>
    </row>
    <row r="45" spans="4:40" ht="135">
      <c r="D45" s="142" t="s">
        <v>300</v>
      </c>
      <c r="E45" s="143" t="s">
        <v>16</v>
      </c>
      <c r="F45" s="143" t="s">
        <v>138</v>
      </c>
      <c r="G45" s="143" t="s">
        <v>115</v>
      </c>
      <c r="H45" s="144" t="s">
        <v>126</v>
      </c>
      <c r="I45" s="144" t="s">
        <v>157</v>
      </c>
      <c r="J45" s="143" t="s">
        <v>46</v>
      </c>
      <c r="K45" s="145" t="s">
        <v>55</v>
      </c>
      <c r="L45" s="143" t="s">
        <v>11</v>
      </c>
      <c r="M45" s="143" t="s">
        <v>11</v>
      </c>
      <c r="N45" s="143">
        <v>60.6</v>
      </c>
      <c r="O45" s="146">
        <v>42978</v>
      </c>
      <c r="P45" s="136">
        <v>43038</v>
      </c>
      <c r="Q45" s="29">
        <v>42996</v>
      </c>
      <c r="R45" s="147">
        <v>30</v>
      </c>
      <c r="S45" s="134">
        <f t="shared" si="9"/>
        <v>43008</v>
      </c>
      <c r="T45" s="135" t="str">
        <f ca="1">IF(S45&gt;=TODAY()-5,IF(S45&lt;TODAY()+6,"Пора отправлять","Еще рано"),"Уже не актуально")</f>
        <v>Уже не актуально</v>
      </c>
      <c r="U45" s="63" t="s">
        <v>11</v>
      </c>
      <c r="V45" s="29"/>
      <c r="W45" s="29"/>
      <c r="X45" s="132">
        <v>43068</v>
      </c>
      <c r="Y45" s="108" t="s">
        <v>163</v>
      </c>
      <c r="Z45" s="132">
        <v>43069</v>
      </c>
      <c r="AA45" s="136">
        <v>43071</v>
      </c>
      <c r="AB45" s="136">
        <v>43071</v>
      </c>
      <c r="AC45" s="136">
        <v>43055</v>
      </c>
      <c r="AD45" s="136">
        <v>43069</v>
      </c>
      <c r="AE45" s="157">
        <v>43075</v>
      </c>
      <c r="AF45" s="108" t="s">
        <v>194</v>
      </c>
      <c r="AG45" s="61">
        <f t="shared" si="10"/>
        <v>37</v>
      </c>
      <c r="AH45" s="15" t="s">
        <v>71</v>
      </c>
      <c r="AI45" s="15"/>
      <c r="AJ45" s="32"/>
      <c r="AK45" s="12"/>
      <c r="AL45" s="2"/>
      <c r="AM45" s="2"/>
      <c r="AN45" s="42" t="s">
        <v>317</v>
      </c>
    </row>
    <row r="46" spans="4:40" ht="78.75">
      <c r="D46" s="142" t="s">
        <v>300</v>
      </c>
      <c r="E46" s="143" t="s">
        <v>16</v>
      </c>
      <c r="F46" s="143" t="s">
        <v>138</v>
      </c>
      <c r="G46" s="143" t="s">
        <v>115</v>
      </c>
      <c r="H46" s="144" t="s">
        <v>126</v>
      </c>
      <c r="I46" s="144" t="s">
        <v>157</v>
      </c>
      <c r="J46" s="143" t="s">
        <v>46</v>
      </c>
      <c r="K46" s="145">
        <v>20</v>
      </c>
      <c r="L46" s="143"/>
      <c r="M46" s="143"/>
      <c r="N46" s="143">
        <v>60.33</v>
      </c>
      <c r="O46" s="146">
        <v>43003</v>
      </c>
      <c r="P46" s="136">
        <v>43064</v>
      </c>
      <c r="Q46" s="29">
        <v>43063</v>
      </c>
      <c r="R46" s="147">
        <v>30</v>
      </c>
      <c r="S46" s="134">
        <f t="shared" si="9"/>
        <v>43034</v>
      </c>
      <c r="T46" s="135" t="str">
        <f ca="1">IF(S46&gt;=TODAY()-5,IF(S46&lt;TODAY()+6,"Пора отправлять","Еще рано"),"Уже не актуально")</f>
        <v>Уже не актуально</v>
      </c>
      <c r="U46" s="63" t="s">
        <v>11</v>
      </c>
      <c r="V46" s="29"/>
      <c r="W46" s="29"/>
      <c r="X46" s="29">
        <v>43079</v>
      </c>
      <c r="Y46" s="108" t="s">
        <v>163</v>
      </c>
      <c r="Z46" s="132">
        <v>43079</v>
      </c>
      <c r="AA46" s="136" t="s">
        <v>177</v>
      </c>
      <c r="AB46" s="136" t="s">
        <v>177</v>
      </c>
      <c r="AC46" s="136">
        <v>43068</v>
      </c>
      <c r="AD46" s="136">
        <v>43070</v>
      </c>
      <c r="AE46" s="157">
        <v>43079</v>
      </c>
      <c r="AF46" s="108" t="s">
        <v>197</v>
      </c>
      <c r="AG46" s="61">
        <f t="shared" si="10"/>
        <v>15</v>
      </c>
      <c r="AH46" s="15"/>
      <c r="AI46" s="15"/>
      <c r="AJ46" s="32"/>
      <c r="AK46" s="12"/>
      <c r="AL46" s="2"/>
      <c r="AM46" s="2"/>
      <c r="AN46" s="42" t="s">
        <v>317</v>
      </c>
    </row>
    <row r="47" spans="4:40" ht="94.5">
      <c r="D47" s="142" t="s">
        <v>300</v>
      </c>
      <c r="E47" s="143" t="s">
        <v>16</v>
      </c>
      <c r="F47" s="143" t="s">
        <v>138</v>
      </c>
      <c r="G47" s="143" t="s">
        <v>115</v>
      </c>
      <c r="H47" s="144" t="s">
        <v>126</v>
      </c>
      <c r="I47" s="144" t="s">
        <v>157</v>
      </c>
      <c r="J47" s="143" t="s">
        <v>46</v>
      </c>
      <c r="K47" s="145" t="s">
        <v>212</v>
      </c>
      <c r="L47" s="143"/>
      <c r="M47" s="143"/>
      <c r="N47" s="143"/>
      <c r="O47" s="146">
        <v>43056</v>
      </c>
      <c r="P47" s="136">
        <v>43120</v>
      </c>
      <c r="Q47" s="29">
        <v>43063</v>
      </c>
      <c r="R47" s="147">
        <v>30</v>
      </c>
      <c r="S47" s="134">
        <f t="shared" si="9"/>
        <v>43090</v>
      </c>
      <c r="T47" s="135" t="s">
        <v>201</v>
      </c>
      <c r="U47" s="63" t="s">
        <v>11</v>
      </c>
      <c r="V47" s="29"/>
      <c r="W47" s="29"/>
      <c r="X47" s="29">
        <v>43125</v>
      </c>
      <c r="Y47" s="108" t="s">
        <v>209</v>
      </c>
      <c r="Z47" s="207">
        <v>43125</v>
      </c>
      <c r="AA47" s="136">
        <v>43125</v>
      </c>
      <c r="AB47" s="136">
        <v>43125</v>
      </c>
      <c r="AC47" s="136">
        <v>43109</v>
      </c>
      <c r="AD47" s="136">
        <v>43111</v>
      </c>
      <c r="AE47" s="136">
        <v>43137</v>
      </c>
      <c r="AF47" s="108" t="str">
        <f t="shared" ref="AF47:AF52" ca="1" si="11">IF(AE47&lt;TODAY()-5,IF(AE47="","Еще рано","Уже не актуально"),IF(AE47&gt;TODAY()-2,"Еще рано","Пора отправлять"))</f>
        <v>Уже не актуально</v>
      </c>
      <c r="AG47" s="61">
        <f t="shared" si="10"/>
        <v>17</v>
      </c>
      <c r="AH47" s="15" t="s">
        <v>243</v>
      </c>
      <c r="AI47" s="162"/>
      <c r="AJ47" s="32"/>
      <c r="AK47" s="12"/>
      <c r="AL47" s="2"/>
      <c r="AM47" s="2"/>
      <c r="AN47" s="42" t="s">
        <v>317</v>
      </c>
    </row>
    <row r="48" spans="4:40" ht="283.5">
      <c r="D48" s="142" t="s">
        <v>300</v>
      </c>
      <c r="E48" s="143" t="s">
        <v>16</v>
      </c>
      <c r="F48" s="143" t="s">
        <v>138</v>
      </c>
      <c r="G48" s="143" t="s">
        <v>115</v>
      </c>
      <c r="H48" s="144" t="s">
        <v>126</v>
      </c>
      <c r="I48" s="144" t="s">
        <v>157</v>
      </c>
      <c r="J48" s="143" t="s">
        <v>46</v>
      </c>
      <c r="K48" s="145" t="s">
        <v>213</v>
      </c>
      <c r="L48" s="143"/>
      <c r="M48" s="143"/>
      <c r="N48" s="143" t="s">
        <v>250</v>
      </c>
      <c r="O48" s="146">
        <v>43056</v>
      </c>
      <c r="P48" s="136">
        <v>43120</v>
      </c>
      <c r="Q48" s="29">
        <v>43063</v>
      </c>
      <c r="R48" s="147">
        <v>30</v>
      </c>
      <c r="S48" s="134">
        <f t="shared" si="9"/>
        <v>43090</v>
      </c>
      <c r="T48" s="135" t="s">
        <v>214</v>
      </c>
      <c r="U48" s="63" t="s">
        <v>11</v>
      </c>
      <c r="V48" s="29"/>
      <c r="W48" s="29"/>
      <c r="X48" s="29">
        <v>43174</v>
      </c>
      <c r="Y48" s="108" t="s">
        <v>163</v>
      </c>
      <c r="Z48" s="207">
        <v>43179</v>
      </c>
      <c r="AA48" s="136">
        <v>43187</v>
      </c>
      <c r="AB48" s="136" t="s">
        <v>263</v>
      </c>
      <c r="AC48" s="136">
        <v>43164</v>
      </c>
      <c r="AD48" s="136" t="s">
        <v>111</v>
      </c>
      <c r="AE48" s="157">
        <v>43194</v>
      </c>
      <c r="AF48" s="108" t="str">
        <f t="shared" ca="1" si="11"/>
        <v>Уже не актуально</v>
      </c>
      <c r="AG48" s="61">
        <f t="shared" si="10"/>
        <v>74</v>
      </c>
      <c r="AH48" s="115" t="s">
        <v>264</v>
      </c>
      <c r="AI48" s="162"/>
      <c r="AJ48" s="32"/>
      <c r="AK48" s="12"/>
      <c r="AL48" s="2"/>
      <c r="AM48" s="2"/>
      <c r="AN48" s="42" t="s">
        <v>317</v>
      </c>
    </row>
    <row r="49" spans="4:40" ht="121.5">
      <c r="D49" s="142" t="s">
        <v>300</v>
      </c>
      <c r="E49" s="143" t="s">
        <v>16</v>
      </c>
      <c r="F49" s="143" t="s">
        <v>138</v>
      </c>
      <c r="G49" s="143" t="s">
        <v>115</v>
      </c>
      <c r="H49" s="144" t="s">
        <v>126</v>
      </c>
      <c r="I49" s="144" t="s">
        <v>157</v>
      </c>
      <c r="J49" s="143" t="s">
        <v>46</v>
      </c>
      <c r="K49" s="145">
        <v>22</v>
      </c>
      <c r="L49" s="143"/>
      <c r="M49" s="143"/>
      <c r="N49" s="143">
        <v>14</v>
      </c>
      <c r="O49" s="146">
        <v>43070</v>
      </c>
      <c r="P49" s="136">
        <v>43169</v>
      </c>
      <c r="Q49" s="132">
        <v>43080</v>
      </c>
      <c r="R49" s="147">
        <v>30</v>
      </c>
      <c r="S49" s="134">
        <f t="shared" si="9"/>
        <v>43139</v>
      </c>
      <c r="T49" s="135" t="str">
        <f ca="1">IF(S49&gt;=TODAY()-5,IF(S49&lt;TODAY()+6,"Пора отправлять","Еще рано"),"Уже не актуально")</f>
        <v>Уже не актуально</v>
      </c>
      <c r="U49" s="63" t="s">
        <v>11</v>
      </c>
      <c r="V49" s="29"/>
      <c r="W49" s="29"/>
      <c r="X49" s="29">
        <v>43234</v>
      </c>
      <c r="Y49" s="108" t="s">
        <v>280</v>
      </c>
      <c r="Z49" s="132">
        <v>43207</v>
      </c>
      <c r="AA49" s="136">
        <v>43237</v>
      </c>
      <c r="AB49" s="136">
        <v>43237</v>
      </c>
      <c r="AC49" s="136">
        <v>43189</v>
      </c>
      <c r="AD49" s="136">
        <v>43192</v>
      </c>
      <c r="AE49" s="157">
        <v>43243</v>
      </c>
      <c r="AF49" s="108" t="str">
        <f t="shared" ca="1" si="11"/>
        <v>Уже не актуально</v>
      </c>
      <c r="AG49" s="61">
        <f t="shared" si="10"/>
        <v>74</v>
      </c>
      <c r="AH49" s="15" t="s">
        <v>278</v>
      </c>
      <c r="AI49" s="487" t="s">
        <v>259</v>
      </c>
      <c r="AJ49" s="32"/>
      <c r="AK49" s="12"/>
      <c r="AL49" s="2"/>
      <c r="AM49" s="2"/>
      <c r="AN49" s="42" t="s">
        <v>317</v>
      </c>
    </row>
    <row r="50" spans="4:40" ht="121.5">
      <c r="D50" s="142" t="s">
        <v>300</v>
      </c>
      <c r="E50" s="143" t="s">
        <v>16</v>
      </c>
      <c r="F50" s="143" t="s">
        <v>138</v>
      </c>
      <c r="G50" s="143" t="s">
        <v>115</v>
      </c>
      <c r="H50" s="144" t="s">
        <v>126</v>
      </c>
      <c r="I50" s="144" t="s">
        <v>157</v>
      </c>
      <c r="J50" s="143" t="s">
        <v>46</v>
      </c>
      <c r="K50" s="145">
        <v>23</v>
      </c>
      <c r="L50" s="143"/>
      <c r="M50" s="143"/>
      <c r="N50" s="143">
        <v>43</v>
      </c>
      <c r="O50" s="146">
        <v>43097</v>
      </c>
      <c r="P50" s="136">
        <v>43179</v>
      </c>
      <c r="Q50" s="132">
        <v>43097</v>
      </c>
      <c r="R50" s="147">
        <v>30</v>
      </c>
      <c r="S50" s="134">
        <f t="shared" si="9"/>
        <v>43149</v>
      </c>
      <c r="T50" s="135" t="str">
        <f ca="1">IF(S50&gt;=TODAY()-5,IF(S50&lt;TODAY()+6,"Пора отправлять","Еще рано"),"Уже не актуально")</f>
        <v>Уже не актуально</v>
      </c>
      <c r="U50" s="63" t="s">
        <v>11</v>
      </c>
      <c r="V50" s="29"/>
      <c r="W50" s="29"/>
      <c r="X50" s="29">
        <v>43234</v>
      </c>
      <c r="Y50" s="108" t="s">
        <v>280</v>
      </c>
      <c r="Z50" s="132">
        <v>43207</v>
      </c>
      <c r="AA50" s="136">
        <v>43237</v>
      </c>
      <c r="AB50" s="136">
        <v>43237</v>
      </c>
      <c r="AC50" s="136">
        <v>43189</v>
      </c>
      <c r="AD50" s="136">
        <v>43192</v>
      </c>
      <c r="AE50" s="157">
        <v>43243</v>
      </c>
      <c r="AF50" s="108" t="str">
        <f t="shared" ca="1" si="11"/>
        <v>Уже не актуально</v>
      </c>
      <c r="AG50" s="61">
        <f t="shared" si="10"/>
        <v>64</v>
      </c>
      <c r="AH50" s="15" t="s">
        <v>278</v>
      </c>
      <c r="AI50" s="487"/>
      <c r="AJ50" s="32"/>
      <c r="AK50" s="12"/>
      <c r="AL50" s="2"/>
      <c r="AM50" s="2"/>
      <c r="AN50" s="42" t="s">
        <v>317</v>
      </c>
    </row>
    <row r="51" spans="4:40" ht="78.75">
      <c r="D51" s="142" t="s">
        <v>300</v>
      </c>
      <c r="E51" s="143" t="s">
        <v>16</v>
      </c>
      <c r="F51" s="143" t="s">
        <v>138</v>
      </c>
      <c r="G51" s="143" t="s">
        <v>115</v>
      </c>
      <c r="H51" s="144" t="s">
        <v>126</v>
      </c>
      <c r="I51" s="144" t="s">
        <v>157</v>
      </c>
      <c r="J51" s="143" t="s">
        <v>46</v>
      </c>
      <c r="K51" s="145">
        <v>24</v>
      </c>
      <c r="L51" s="143"/>
      <c r="M51" s="143"/>
      <c r="N51" s="143"/>
      <c r="O51" s="146">
        <v>43130</v>
      </c>
      <c r="P51" s="136">
        <v>43215</v>
      </c>
      <c r="Q51" s="132">
        <v>43140</v>
      </c>
      <c r="R51" s="147">
        <v>30</v>
      </c>
      <c r="S51" s="134">
        <f t="shared" si="9"/>
        <v>43185</v>
      </c>
      <c r="T51" s="135" t="s">
        <v>251</v>
      </c>
      <c r="U51" s="63" t="s">
        <v>11</v>
      </c>
      <c r="V51" s="29"/>
      <c r="W51" s="29"/>
      <c r="X51" s="29">
        <v>43245</v>
      </c>
      <c r="Y51" s="108" t="s">
        <v>267</v>
      </c>
      <c r="Z51" s="132">
        <v>43245</v>
      </c>
      <c r="AA51" s="136">
        <v>39596</v>
      </c>
      <c r="AB51" s="171" t="s">
        <v>111</v>
      </c>
      <c r="AC51" s="136" t="s">
        <v>111</v>
      </c>
      <c r="AD51" s="136" t="s">
        <v>111</v>
      </c>
      <c r="AE51" s="157">
        <v>43255</v>
      </c>
      <c r="AF51" s="108" t="str">
        <f t="shared" ca="1" si="11"/>
        <v>Уже не актуально</v>
      </c>
      <c r="AG51" s="61">
        <f t="shared" si="10"/>
        <v>40</v>
      </c>
      <c r="AH51" s="15"/>
      <c r="AI51" s="162"/>
      <c r="AJ51" s="32"/>
      <c r="AK51" s="12"/>
      <c r="AL51" s="2"/>
      <c r="AM51" s="2"/>
      <c r="AN51" s="42" t="s">
        <v>317</v>
      </c>
    </row>
    <row r="52" spans="4:40" ht="78.75">
      <c r="D52" s="127" t="s">
        <v>300</v>
      </c>
      <c r="E52" s="128" t="s">
        <v>16</v>
      </c>
      <c r="F52" s="128" t="s">
        <v>138</v>
      </c>
      <c r="G52" s="128" t="s">
        <v>115</v>
      </c>
      <c r="H52" s="129" t="s">
        <v>126</v>
      </c>
      <c r="I52" s="129" t="s">
        <v>157</v>
      </c>
      <c r="J52" s="128" t="s">
        <v>46</v>
      </c>
      <c r="K52" s="130">
        <v>25</v>
      </c>
      <c r="L52" s="128"/>
      <c r="M52" s="128"/>
      <c r="N52" s="128">
        <v>65</v>
      </c>
      <c r="O52" s="29">
        <v>43171</v>
      </c>
      <c r="P52" s="136">
        <v>43235</v>
      </c>
      <c r="Q52" s="132"/>
      <c r="R52" s="133">
        <v>30</v>
      </c>
      <c r="S52" s="134">
        <f t="shared" si="9"/>
        <v>43205</v>
      </c>
      <c r="T52" s="135" t="str">
        <f ca="1">IF(S52&gt;=TODAY()-5,IF(S52&lt;TODAY()+6,"Пора отправлять","Еще рано"),"Уже не актуально")</f>
        <v>Уже не актуально</v>
      </c>
      <c r="U52" s="63" t="s">
        <v>11</v>
      </c>
      <c r="V52" s="29" t="s">
        <v>196</v>
      </c>
      <c r="W52" s="29"/>
      <c r="X52" s="29">
        <v>43266</v>
      </c>
      <c r="Y52" s="108" t="s">
        <v>163</v>
      </c>
      <c r="Z52" s="132">
        <v>43266</v>
      </c>
      <c r="AA52" s="136">
        <v>43271</v>
      </c>
      <c r="AB52" s="136">
        <v>43272</v>
      </c>
      <c r="AC52" s="136" t="s">
        <v>111</v>
      </c>
      <c r="AD52" s="136" t="s">
        <v>111</v>
      </c>
      <c r="AE52" s="157">
        <v>43278</v>
      </c>
      <c r="AF52" s="108" t="str">
        <f t="shared" ca="1" si="11"/>
        <v>Уже не актуально</v>
      </c>
      <c r="AG52" s="61">
        <f t="shared" si="10"/>
        <v>43</v>
      </c>
      <c r="AH52" s="15"/>
      <c r="AI52" s="162"/>
      <c r="AJ52" s="32"/>
      <c r="AK52" s="12"/>
      <c r="AL52" s="2"/>
      <c r="AM52" s="2"/>
      <c r="AN52" s="42" t="s">
        <v>317</v>
      </c>
    </row>
    <row r="53" spans="4:40" ht="78.75">
      <c r="D53" s="127" t="s">
        <v>300</v>
      </c>
      <c r="E53" s="128" t="s">
        <v>16</v>
      </c>
      <c r="F53" s="128" t="s">
        <v>138</v>
      </c>
      <c r="G53" s="128" t="s">
        <v>115</v>
      </c>
      <c r="H53" s="129" t="s">
        <v>126</v>
      </c>
      <c r="I53" s="129" t="s">
        <v>157</v>
      </c>
      <c r="J53" s="128" t="s">
        <v>46</v>
      </c>
      <c r="K53" s="130" t="s">
        <v>265</v>
      </c>
      <c r="L53" s="128"/>
      <c r="M53" s="128"/>
      <c r="N53" s="128"/>
      <c r="O53" s="132">
        <v>43194</v>
      </c>
      <c r="P53" s="136">
        <v>43250</v>
      </c>
      <c r="Q53" s="132"/>
      <c r="R53" s="133">
        <v>30</v>
      </c>
      <c r="S53" s="134">
        <f t="shared" si="9"/>
        <v>43220</v>
      </c>
      <c r="T53" s="135" t="s">
        <v>274</v>
      </c>
      <c r="U53" s="63" t="s">
        <v>11</v>
      </c>
      <c r="V53" s="29" t="s">
        <v>196</v>
      </c>
      <c r="W53" s="29"/>
      <c r="X53" s="29">
        <v>43296</v>
      </c>
      <c r="Y53" s="108" t="str">
        <f ca="1">IF(X53&gt;TODAY(),IF(X53&lt;TODAY()+17,"Пора отправлять","Еще рано"),"Уже не актуально")</f>
        <v>Уже не актуально</v>
      </c>
      <c r="Z53" s="132">
        <v>43296</v>
      </c>
      <c r="AA53" s="136" t="s">
        <v>177</v>
      </c>
      <c r="AB53" s="136" t="s">
        <v>177</v>
      </c>
      <c r="AC53" s="136">
        <v>43294</v>
      </c>
      <c r="AD53" s="136">
        <v>43298</v>
      </c>
      <c r="AE53" s="157">
        <v>43300</v>
      </c>
      <c r="AF53" s="108" t="s">
        <v>329</v>
      </c>
      <c r="AG53" s="61">
        <f t="shared" si="10"/>
        <v>50</v>
      </c>
      <c r="AH53" s="15"/>
      <c r="AI53" s="162"/>
      <c r="AJ53" s="32"/>
      <c r="AK53" s="12"/>
      <c r="AL53" s="2"/>
      <c r="AM53" s="2"/>
      <c r="AN53" s="42" t="s">
        <v>317</v>
      </c>
    </row>
    <row r="54" spans="4:40" ht="78.75">
      <c r="D54" s="127" t="s">
        <v>300</v>
      </c>
      <c r="E54" s="128" t="s">
        <v>16</v>
      </c>
      <c r="F54" s="128" t="s">
        <v>138</v>
      </c>
      <c r="G54" s="128" t="s">
        <v>115</v>
      </c>
      <c r="H54" s="129" t="s">
        <v>126</v>
      </c>
      <c r="I54" s="129" t="s">
        <v>157</v>
      </c>
      <c r="J54" s="128" t="s">
        <v>46</v>
      </c>
      <c r="K54" s="130" t="s">
        <v>266</v>
      </c>
      <c r="L54" s="128"/>
      <c r="M54" s="128"/>
      <c r="N54" s="128"/>
      <c r="O54" s="132">
        <v>43194</v>
      </c>
      <c r="P54" s="136">
        <v>43261</v>
      </c>
      <c r="Q54" s="132"/>
      <c r="R54" s="133">
        <v>30</v>
      </c>
      <c r="S54" s="134">
        <f t="shared" si="9"/>
        <v>43231</v>
      </c>
      <c r="T54" s="135" t="s">
        <v>280</v>
      </c>
      <c r="U54" s="63" t="s">
        <v>11</v>
      </c>
      <c r="V54" s="29" t="s">
        <v>196</v>
      </c>
      <c r="W54" s="29"/>
      <c r="X54" s="29">
        <v>43311</v>
      </c>
      <c r="Y54" s="108" t="s">
        <v>323</v>
      </c>
      <c r="Z54" s="132">
        <v>43315</v>
      </c>
      <c r="AA54" s="131">
        <v>43319</v>
      </c>
      <c r="AB54" s="136">
        <v>43319</v>
      </c>
      <c r="AC54" s="136">
        <v>43294</v>
      </c>
      <c r="AD54" s="136">
        <v>43298</v>
      </c>
      <c r="AE54" s="157">
        <v>43320</v>
      </c>
      <c r="AF54" s="108" t="s">
        <v>354</v>
      </c>
      <c r="AG54" s="61">
        <f t="shared" si="10"/>
        <v>59</v>
      </c>
      <c r="AH54" s="15"/>
      <c r="AI54" s="162"/>
      <c r="AJ54" s="32"/>
      <c r="AK54" s="12"/>
      <c r="AL54" s="2"/>
      <c r="AM54" s="2"/>
      <c r="AN54" s="42" t="s">
        <v>317</v>
      </c>
    </row>
    <row r="55" spans="4:40" ht="81">
      <c r="D55" s="127" t="s">
        <v>300</v>
      </c>
      <c r="E55" s="128" t="s">
        <v>16</v>
      </c>
      <c r="F55" s="128" t="s">
        <v>138</v>
      </c>
      <c r="G55" s="128" t="s">
        <v>115</v>
      </c>
      <c r="H55" s="129" t="s">
        <v>126</v>
      </c>
      <c r="I55" s="129" t="s">
        <v>157</v>
      </c>
      <c r="J55" s="128" t="s">
        <v>282</v>
      </c>
      <c r="K55" s="130" t="s">
        <v>284</v>
      </c>
      <c r="L55" s="128"/>
      <c r="M55" s="128"/>
      <c r="N55" s="128"/>
      <c r="O55" s="29">
        <v>43227</v>
      </c>
      <c r="P55" s="136">
        <v>43291</v>
      </c>
      <c r="Q55" s="132"/>
      <c r="R55" s="133">
        <v>30</v>
      </c>
      <c r="S55" s="134">
        <f t="shared" si="9"/>
        <v>43261</v>
      </c>
      <c r="T55" s="135" t="s">
        <v>286</v>
      </c>
      <c r="U55" s="63" t="s">
        <v>11</v>
      </c>
      <c r="V55" s="29" t="s">
        <v>196</v>
      </c>
      <c r="W55" s="29"/>
      <c r="X55" s="29">
        <v>43339</v>
      </c>
      <c r="Y55" s="108" t="s">
        <v>360</v>
      </c>
      <c r="Z55" s="132">
        <v>43349</v>
      </c>
      <c r="AA55" s="136">
        <v>43351</v>
      </c>
      <c r="AB55" s="136">
        <v>43353</v>
      </c>
      <c r="AC55" s="136" t="s">
        <v>228</v>
      </c>
      <c r="AD55" s="136" t="s">
        <v>228</v>
      </c>
      <c r="AE55" s="157">
        <v>43355</v>
      </c>
      <c r="AF55" s="108" t="str">
        <f ca="1">IF(AE55&lt;TODAY()-5,IF(AE55="","Еще рано","Уже не актуально"),IF(AE55&gt;TODAY()-2,"Еще рано","Пора отправлять"))</f>
        <v>Уже не актуально</v>
      </c>
      <c r="AG55" s="61">
        <f t="shared" si="10"/>
        <v>64</v>
      </c>
      <c r="AH55" s="15"/>
      <c r="AI55" s="42" t="s">
        <v>399</v>
      </c>
      <c r="AJ55" s="32"/>
      <c r="AK55" s="12"/>
      <c r="AL55" s="2"/>
      <c r="AM55" s="2"/>
      <c r="AN55" s="42" t="s">
        <v>317</v>
      </c>
    </row>
    <row r="56" spans="4:40" ht="94.5">
      <c r="D56" s="127" t="s">
        <v>300</v>
      </c>
      <c r="E56" s="128" t="s">
        <v>16</v>
      </c>
      <c r="F56" s="128" t="s">
        <v>138</v>
      </c>
      <c r="G56" s="128" t="s">
        <v>115</v>
      </c>
      <c r="H56" s="129" t="s">
        <v>126</v>
      </c>
      <c r="I56" s="129" t="s">
        <v>157</v>
      </c>
      <c r="J56" s="128" t="s">
        <v>282</v>
      </c>
      <c r="K56" s="130" t="s">
        <v>285</v>
      </c>
      <c r="L56" s="128"/>
      <c r="M56" s="128"/>
      <c r="N56" s="128"/>
      <c r="O56" s="29">
        <v>43227</v>
      </c>
      <c r="P56" s="136">
        <v>43301</v>
      </c>
      <c r="Q56" s="132"/>
      <c r="R56" s="133">
        <v>30</v>
      </c>
      <c r="S56" s="134">
        <f t="shared" si="9"/>
        <v>43271</v>
      </c>
      <c r="T56" s="135" t="s">
        <v>287</v>
      </c>
      <c r="U56" s="63" t="s">
        <v>11</v>
      </c>
      <c r="V56" s="29" t="s">
        <v>196</v>
      </c>
      <c r="W56" s="29"/>
      <c r="X56" s="29">
        <v>43361</v>
      </c>
      <c r="Y56" s="108" t="s">
        <v>400</v>
      </c>
      <c r="Z56" s="132">
        <v>43364</v>
      </c>
      <c r="AA56" s="136">
        <v>43367</v>
      </c>
      <c r="AB56" s="136">
        <v>43368</v>
      </c>
      <c r="AC56" s="136" t="s">
        <v>228</v>
      </c>
      <c r="AD56" s="136" t="s">
        <v>228</v>
      </c>
      <c r="AE56" s="157">
        <v>43382</v>
      </c>
      <c r="AF56" s="108" t="str">
        <f ca="1">IF(AE56&lt;TODAY()-5,IF(AE56="","Еще рано","Уже не актуально"),IF(AE56&gt;TODAY()-2,"Еще рано","Пора отправлять"))</f>
        <v>Уже не актуально</v>
      </c>
      <c r="AG56" s="61">
        <f t="shared" si="10"/>
        <v>81</v>
      </c>
      <c r="AH56" s="168" t="s">
        <v>436</v>
      </c>
      <c r="AI56" s="42" t="s">
        <v>415</v>
      </c>
      <c r="AJ56" s="32" t="s">
        <v>374</v>
      </c>
      <c r="AK56" s="161" t="s">
        <v>373</v>
      </c>
      <c r="AL56" s="2"/>
      <c r="AM56" s="2"/>
      <c r="AN56" s="42" t="s">
        <v>317</v>
      </c>
    </row>
    <row r="57" spans="4:40" ht="94.5">
      <c r="D57" s="127" t="s">
        <v>300</v>
      </c>
      <c r="E57" s="128" t="s">
        <v>16</v>
      </c>
      <c r="F57" s="128" t="s">
        <v>138</v>
      </c>
      <c r="G57" s="128" t="s">
        <v>115</v>
      </c>
      <c r="H57" s="129" t="s">
        <v>126</v>
      </c>
      <c r="I57" s="129" t="s">
        <v>157</v>
      </c>
      <c r="J57" s="128" t="s">
        <v>282</v>
      </c>
      <c r="K57" s="130" t="s">
        <v>276</v>
      </c>
      <c r="L57" s="128"/>
      <c r="M57" s="128"/>
      <c r="N57" s="128">
        <v>50</v>
      </c>
      <c r="O57" s="29">
        <v>43227</v>
      </c>
      <c r="P57" s="136">
        <v>43311</v>
      </c>
      <c r="Q57" s="132"/>
      <c r="R57" s="133">
        <v>30</v>
      </c>
      <c r="S57" s="134">
        <f t="shared" si="9"/>
        <v>43281</v>
      </c>
      <c r="T57" s="135" t="s">
        <v>288</v>
      </c>
      <c r="U57" s="63" t="s">
        <v>11</v>
      </c>
      <c r="V57" s="29" t="s">
        <v>196</v>
      </c>
      <c r="W57" s="29"/>
      <c r="X57" s="29">
        <v>43324</v>
      </c>
      <c r="Y57" s="108" t="s">
        <v>203</v>
      </c>
      <c r="Z57" s="29">
        <v>43324</v>
      </c>
      <c r="AA57" s="136">
        <v>43328</v>
      </c>
      <c r="AB57" s="136">
        <v>43329</v>
      </c>
      <c r="AC57" s="136">
        <v>43319</v>
      </c>
      <c r="AD57" s="136" t="s">
        <v>228</v>
      </c>
      <c r="AE57" s="157">
        <v>43334</v>
      </c>
      <c r="AF57" s="108" t="str">
        <f ca="1">IF(AE57&lt;TODAY()-5,IF(AE57="","Еще рано","Уже не актуально"),IF(AE57&gt;TODAY()-2,"Еще рано","Пора отправлять"))</f>
        <v>Уже не актуально</v>
      </c>
      <c r="AG57" s="61">
        <f t="shared" si="10"/>
        <v>23</v>
      </c>
      <c r="AH57" s="15"/>
      <c r="AI57" s="42" t="s">
        <v>398</v>
      </c>
      <c r="AJ57" s="32" t="s">
        <v>376</v>
      </c>
      <c r="AK57" s="161" t="s">
        <v>374</v>
      </c>
      <c r="AL57" s="2"/>
      <c r="AM57" s="2"/>
      <c r="AN57" s="42" t="s">
        <v>317</v>
      </c>
    </row>
    <row r="58" spans="4:40" ht="94.5">
      <c r="D58" s="127" t="s">
        <v>300</v>
      </c>
      <c r="E58" s="128" t="s">
        <v>16</v>
      </c>
      <c r="F58" s="128" t="s">
        <v>138</v>
      </c>
      <c r="G58" s="128" t="s">
        <v>115</v>
      </c>
      <c r="H58" s="129" t="s">
        <v>126</v>
      </c>
      <c r="I58" s="129" t="s">
        <v>157</v>
      </c>
      <c r="J58" s="128" t="s">
        <v>282</v>
      </c>
      <c r="K58" s="130" t="s">
        <v>291</v>
      </c>
      <c r="L58" s="128"/>
      <c r="M58" s="128"/>
      <c r="N58" s="128">
        <v>70</v>
      </c>
      <c r="O58" s="29">
        <v>43250</v>
      </c>
      <c r="P58" s="136">
        <v>43296</v>
      </c>
      <c r="Q58" s="132">
        <v>43252</v>
      </c>
      <c r="R58" s="133">
        <v>30</v>
      </c>
      <c r="S58" s="134">
        <f t="shared" si="9"/>
        <v>43266</v>
      </c>
      <c r="T58" s="135" t="str">
        <f t="shared" ref="T58:T70" ca="1" si="12">IF(S58&gt;=TODAY()-5,IF(S58&lt;TODAY()+6,"Пора отправлять","Еще рано"),"Уже не актуально")</f>
        <v>Уже не актуально</v>
      </c>
      <c r="U58" s="63" t="s">
        <v>11</v>
      </c>
      <c r="V58" s="29" t="s">
        <v>196</v>
      </c>
      <c r="W58" s="29"/>
      <c r="X58" s="29">
        <v>43303</v>
      </c>
      <c r="Y58" s="108" t="s">
        <v>312</v>
      </c>
      <c r="Z58" s="132">
        <v>43302</v>
      </c>
      <c r="AA58" s="131">
        <v>43302</v>
      </c>
      <c r="AB58" s="136">
        <v>43304</v>
      </c>
      <c r="AC58" s="136" t="s">
        <v>228</v>
      </c>
      <c r="AD58" s="136">
        <v>43298</v>
      </c>
      <c r="AE58" s="157">
        <v>43305</v>
      </c>
      <c r="AF58" s="108" t="s">
        <v>335</v>
      </c>
      <c r="AG58" s="61">
        <f t="shared" si="10"/>
        <v>9</v>
      </c>
      <c r="AH58" s="15"/>
      <c r="AI58" s="42" t="s">
        <v>397</v>
      </c>
      <c r="AJ58" s="32" t="s">
        <v>376</v>
      </c>
      <c r="AK58" s="161" t="s">
        <v>375</v>
      </c>
      <c r="AL58" s="2"/>
      <c r="AM58" s="2"/>
      <c r="AN58" s="42" t="s">
        <v>317</v>
      </c>
    </row>
    <row r="59" spans="4:40" ht="94.5">
      <c r="D59" s="127" t="s">
        <v>300</v>
      </c>
      <c r="E59" s="128" t="s">
        <v>16</v>
      </c>
      <c r="F59" s="128" t="s">
        <v>138</v>
      </c>
      <c r="G59" s="128" t="s">
        <v>115</v>
      </c>
      <c r="H59" s="129" t="s">
        <v>126</v>
      </c>
      <c r="I59" s="129" t="s">
        <v>157</v>
      </c>
      <c r="J59" s="128" t="s">
        <v>282</v>
      </c>
      <c r="K59" s="130" t="s">
        <v>449</v>
      </c>
      <c r="L59" s="128"/>
      <c r="M59" s="128"/>
      <c r="N59" s="128"/>
      <c r="O59" s="29">
        <v>43250</v>
      </c>
      <c r="P59" s="136">
        <v>43313</v>
      </c>
      <c r="Q59" s="132">
        <v>43252</v>
      </c>
      <c r="R59" s="133">
        <v>30</v>
      </c>
      <c r="S59" s="134">
        <f t="shared" si="9"/>
        <v>43283</v>
      </c>
      <c r="T59" s="135" t="str">
        <f t="shared" ca="1" si="12"/>
        <v>Уже не актуально</v>
      </c>
      <c r="U59" s="63" t="s">
        <v>11</v>
      </c>
      <c r="V59" s="29" t="s">
        <v>196</v>
      </c>
      <c r="W59" s="29"/>
      <c r="X59" s="29">
        <v>43389</v>
      </c>
      <c r="Y59" s="108" t="s">
        <v>444</v>
      </c>
      <c r="Z59" s="132">
        <v>43389</v>
      </c>
      <c r="AA59" s="136">
        <v>43390</v>
      </c>
      <c r="AB59" s="136">
        <v>43390</v>
      </c>
      <c r="AC59" s="136" t="s">
        <v>228</v>
      </c>
      <c r="AD59" s="136" t="s">
        <v>228</v>
      </c>
      <c r="AE59" s="157">
        <v>43397</v>
      </c>
      <c r="AF59" s="108" t="s">
        <v>450</v>
      </c>
      <c r="AG59" s="61">
        <f t="shared" si="10"/>
        <v>84</v>
      </c>
      <c r="AH59" s="15"/>
      <c r="AI59" s="42" t="s">
        <v>397</v>
      </c>
      <c r="AJ59" s="32" t="s">
        <v>376</v>
      </c>
      <c r="AK59" s="161" t="s">
        <v>376</v>
      </c>
      <c r="AL59" s="2"/>
      <c r="AM59" s="2"/>
      <c r="AN59" s="42" t="s">
        <v>317</v>
      </c>
    </row>
    <row r="60" spans="4:40" ht="94.5">
      <c r="D60" s="127" t="s">
        <v>300</v>
      </c>
      <c r="E60" s="128" t="s">
        <v>16</v>
      </c>
      <c r="F60" s="128" t="s">
        <v>138</v>
      </c>
      <c r="G60" s="128" t="s">
        <v>115</v>
      </c>
      <c r="H60" s="129" t="s">
        <v>126</v>
      </c>
      <c r="I60" s="129" t="s">
        <v>157</v>
      </c>
      <c r="J60" s="128" t="s">
        <v>282</v>
      </c>
      <c r="K60" s="130" t="s">
        <v>448</v>
      </c>
      <c r="L60" s="128"/>
      <c r="M60" s="128"/>
      <c r="N60" s="128"/>
      <c r="O60" s="29">
        <v>43250</v>
      </c>
      <c r="P60" s="136">
        <v>43313</v>
      </c>
      <c r="Q60" s="132">
        <v>43252</v>
      </c>
      <c r="R60" s="133">
        <f t="shared" ref="R60:R70" si="13">R59</f>
        <v>30</v>
      </c>
      <c r="S60" s="134">
        <f t="shared" si="9"/>
        <v>43283</v>
      </c>
      <c r="T60" s="135" t="str">
        <f t="shared" ca="1" si="12"/>
        <v>Уже не актуально</v>
      </c>
      <c r="U60" s="63" t="s">
        <v>11</v>
      </c>
      <c r="V60" s="29" t="s">
        <v>196</v>
      </c>
      <c r="W60" s="29"/>
      <c r="X60" s="29">
        <v>43401</v>
      </c>
      <c r="Y60" s="108" t="str">
        <f ca="1">IF(X60&gt;TODAY(),IF(X60&lt;TODAY()+17,"Пора отправлять","Еще рано"),"Уже не актуально")</f>
        <v>Уже не актуально</v>
      </c>
      <c r="Z60" s="132">
        <v>43406</v>
      </c>
      <c r="AA60" s="136">
        <v>43409</v>
      </c>
      <c r="AB60" s="136">
        <v>43411</v>
      </c>
      <c r="AC60" s="136" t="s">
        <v>228</v>
      </c>
      <c r="AD60" s="136" t="s">
        <v>228</v>
      </c>
      <c r="AE60" s="157">
        <v>43411</v>
      </c>
      <c r="AF60" s="108" t="s">
        <v>470</v>
      </c>
      <c r="AG60" s="61">
        <f t="shared" si="10"/>
        <v>98</v>
      </c>
      <c r="AH60" s="15"/>
      <c r="AI60" s="42" t="s">
        <v>397</v>
      </c>
      <c r="AJ60" s="32" t="s">
        <v>376</v>
      </c>
      <c r="AK60" s="161" t="s">
        <v>376</v>
      </c>
      <c r="AL60" s="2"/>
      <c r="AM60" s="2"/>
      <c r="AN60" s="42" t="s">
        <v>317</v>
      </c>
    </row>
    <row r="61" spans="4:40" ht="81">
      <c r="D61" s="127" t="s">
        <v>300</v>
      </c>
      <c r="E61" s="128" t="s">
        <v>16</v>
      </c>
      <c r="F61" s="128" t="s">
        <v>138</v>
      </c>
      <c r="G61" s="128" t="s">
        <v>115</v>
      </c>
      <c r="H61" s="129" t="s">
        <v>126</v>
      </c>
      <c r="I61" s="129" t="s">
        <v>157</v>
      </c>
      <c r="J61" s="128" t="s">
        <v>282</v>
      </c>
      <c r="K61" s="130" t="s">
        <v>299</v>
      </c>
      <c r="L61" s="128"/>
      <c r="M61" s="128"/>
      <c r="N61" s="128"/>
      <c r="O61" s="29">
        <v>43277</v>
      </c>
      <c r="P61" s="136">
        <v>43383</v>
      </c>
      <c r="Q61" s="132"/>
      <c r="R61" s="133">
        <f t="shared" si="13"/>
        <v>30</v>
      </c>
      <c r="S61" s="134">
        <f t="shared" si="9"/>
        <v>43353</v>
      </c>
      <c r="T61" s="135" t="str">
        <f t="shared" ca="1" si="12"/>
        <v>Уже не актуально</v>
      </c>
      <c r="U61" s="63" t="s">
        <v>11</v>
      </c>
      <c r="V61" s="29" t="s">
        <v>196</v>
      </c>
      <c r="W61" s="29"/>
      <c r="X61" s="29">
        <v>43420</v>
      </c>
      <c r="Y61" s="108" t="s">
        <v>471</v>
      </c>
      <c r="Z61" s="132">
        <v>43420</v>
      </c>
      <c r="AA61" s="136">
        <v>43422</v>
      </c>
      <c r="AB61" s="136">
        <v>43423</v>
      </c>
      <c r="AC61" s="136">
        <v>43413</v>
      </c>
      <c r="AD61" s="136" t="s">
        <v>228</v>
      </c>
      <c r="AE61" s="157">
        <v>43425</v>
      </c>
      <c r="AF61" s="108" t="s">
        <v>477</v>
      </c>
      <c r="AG61" s="61">
        <f t="shared" si="10"/>
        <v>42</v>
      </c>
      <c r="AH61" s="15"/>
      <c r="AI61" s="42" t="s">
        <v>396</v>
      </c>
      <c r="AJ61" s="32" t="s">
        <v>376</v>
      </c>
      <c r="AK61" s="161" t="s">
        <v>377</v>
      </c>
      <c r="AL61" s="2"/>
      <c r="AM61" s="2"/>
      <c r="AN61" s="42" t="s">
        <v>317</v>
      </c>
    </row>
    <row r="62" spans="4:40" ht="81">
      <c r="D62" s="127" t="s">
        <v>300</v>
      </c>
      <c r="E62" s="128" t="s">
        <v>16</v>
      </c>
      <c r="F62" s="128" t="s">
        <v>138</v>
      </c>
      <c r="G62" s="128" t="s">
        <v>115</v>
      </c>
      <c r="H62" s="129" t="s">
        <v>126</v>
      </c>
      <c r="I62" s="129" t="s">
        <v>157</v>
      </c>
      <c r="J62" s="128" t="s">
        <v>282</v>
      </c>
      <c r="K62" s="130" t="s">
        <v>325</v>
      </c>
      <c r="L62" s="128"/>
      <c r="M62" s="128"/>
      <c r="N62" s="128"/>
      <c r="O62" s="29">
        <v>43294</v>
      </c>
      <c r="P62" s="136">
        <v>43383</v>
      </c>
      <c r="Q62" s="132"/>
      <c r="R62" s="133">
        <f t="shared" si="13"/>
        <v>30</v>
      </c>
      <c r="S62" s="134">
        <f t="shared" si="9"/>
        <v>43353</v>
      </c>
      <c r="T62" s="135" t="str">
        <f t="shared" ca="1" si="12"/>
        <v>Уже не актуально</v>
      </c>
      <c r="U62" s="63" t="s">
        <v>11</v>
      </c>
      <c r="V62" s="29" t="s">
        <v>508</v>
      </c>
      <c r="W62" s="29"/>
      <c r="X62" s="29">
        <v>43483</v>
      </c>
      <c r="Y62" s="108" t="s">
        <v>498</v>
      </c>
      <c r="Z62" s="132">
        <v>43483</v>
      </c>
      <c r="AA62" s="131">
        <v>43486</v>
      </c>
      <c r="AB62" s="136" t="s">
        <v>505</v>
      </c>
      <c r="AC62" s="136" t="s">
        <v>228</v>
      </c>
      <c r="AD62" s="136" t="s">
        <v>228</v>
      </c>
      <c r="AE62" s="157">
        <v>43488</v>
      </c>
      <c r="AF62" s="108" t="str">
        <f ca="1">IF(AE62&lt;TODAY()-5,IF(AE62="","Еще рано","Уже не актуально"),IF(AE62&gt;TODAY()-2,"Еще рано","Пора отправлять"))</f>
        <v>Уже не актуально</v>
      </c>
      <c r="AG62" s="61">
        <f t="shared" si="10"/>
        <v>105</v>
      </c>
      <c r="AH62" s="15"/>
      <c r="AI62" s="42" t="s">
        <v>395</v>
      </c>
      <c r="AJ62" s="32" t="s">
        <v>377</v>
      </c>
      <c r="AK62" s="12"/>
      <c r="AL62" s="2"/>
      <c r="AM62" s="2"/>
      <c r="AN62" s="42" t="s">
        <v>317</v>
      </c>
    </row>
    <row r="63" spans="4:40" ht="81">
      <c r="D63" s="127" t="s">
        <v>300</v>
      </c>
      <c r="E63" s="128" t="s">
        <v>16</v>
      </c>
      <c r="F63" s="128" t="s">
        <v>138</v>
      </c>
      <c r="G63" s="128" t="s">
        <v>115</v>
      </c>
      <c r="H63" s="129" t="s">
        <v>126</v>
      </c>
      <c r="I63" s="129" t="s">
        <v>157</v>
      </c>
      <c r="J63" s="128" t="s">
        <v>282</v>
      </c>
      <c r="K63" s="130" t="s">
        <v>326</v>
      </c>
      <c r="L63" s="128"/>
      <c r="M63" s="128"/>
      <c r="N63" s="128">
        <v>65</v>
      </c>
      <c r="O63" s="29">
        <v>43327</v>
      </c>
      <c r="P63" s="136">
        <v>43418</v>
      </c>
      <c r="Q63" s="132"/>
      <c r="R63" s="133">
        <f t="shared" si="13"/>
        <v>30</v>
      </c>
      <c r="S63" s="134">
        <f t="shared" si="9"/>
        <v>43388</v>
      </c>
      <c r="T63" s="135" t="str">
        <f t="shared" ca="1" si="12"/>
        <v>Уже не актуально</v>
      </c>
      <c r="U63" s="63" t="s">
        <v>11</v>
      </c>
      <c r="V63" s="29" t="s">
        <v>508</v>
      </c>
      <c r="W63" s="29"/>
      <c r="X63" s="29">
        <v>43525</v>
      </c>
      <c r="Y63" s="108" t="s">
        <v>547</v>
      </c>
      <c r="Z63" s="132">
        <v>43497</v>
      </c>
      <c r="AA63" s="136">
        <v>43526</v>
      </c>
      <c r="AB63" s="136" t="s">
        <v>228</v>
      </c>
      <c r="AC63" s="136" t="s">
        <v>228</v>
      </c>
      <c r="AD63" s="136">
        <v>43521</v>
      </c>
      <c r="AE63" s="157">
        <v>43530</v>
      </c>
      <c r="AF63" s="108" t="s">
        <v>571</v>
      </c>
      <c r="AG63" s="61">
        <f t="shared" si="10"/>
        <v>112</v>
      </c>
      <c r="AH63" s="15"/>
      <c r="AI63" s="42" t="s">
        <v>394</v>
      </c>
      <c r="AJ63" s="32" t="s">
        <v>374</v>
      </c>
      <c r="AK63" s="12"/>
      <c r="AL63" s="2"/>
      <c r="AM63" s="2"/>
      <c r="AN63" s="42" t="s">
        <v>317</v>
      </c>
    </row>
    <row r="64" spans="4:40" ht="81">
      <c r="D64" s="127" t="s">
        <v>300</v>
      </c>
      <c r="E64" s="128" t="s">
        <v>16</v>
      </c>
      <c r="F64" s="128" t="s">
        <v>138</v>
      </c>
      <c r="G64" s="128" t="s">
        <v>115</v>
      </c>
      <c r="H64" s="129" t="s">
        <v>126</v>
      </c>
      <c r="I64" s="129" t="s">
        <v>157</v>
      </c>
      <c r="J64" s="128" t="s">
        <v>282</v>
      </c>
      <c r="K64" s="130" t="s">
        <v>412</v>
      </c>
      <c r="L64" s="128"/>
      <c r="M64" s="128"/>
      <c r="N64" s="128"/>
      <c r="O64" s="29">
        <v>43357</v>
      </c>
      <c r="P64" s="136">
        <v>43418</v>
      </c>
      <c r="Q64" s="132"/>
      <c r="R64" s="133">
        <f t="shared" si="13"/>
        <v>30</v>
      </c>
      <c r="S64" s="134">
        <f t="shared" si="9"/>
        <v>43388</v>
      </c>
      <c r="T64" s="135" t="str">
        <f t="shared" ca="1" si="12"/>
        <v>Уже не актуально</v>
      </c>
      <c r="U64" s="63" t="s">
        <v>11</v>
      </c>
      <c r="V64" s="29" t="s">
        <v>508</v>
      </c>
      <c r="W64" s="29"/>
      <c r="X64" s="29">
        <v>43546</v>
      </c>
      <c r="Y64" s="108" t="str">
        <f ca="1">IF(X64&gt;TODAY(),IF(X64&lt;TODAY()+17,"Пора отправлять","Еще рано"),"Уже не актуально")</f>
        <v>Уже не актуально</v>
      </c>
      <c r="Z64" s="132">
        <v>43546</v>
      </c>
      <c r="AA64" s="136">
        <v>43556</v>
      </c>
      <c r="AB64" s="136">
        <v>43556</v>
      </c>
      <c r="AC64" s="136" t="s">
        <v>228</v>
      </c>
      <c r="AD64" s="136" t="s">
        <v>228</v>
      </c>
      <c r="AE64" s="157">
        <v>43557</v>
      </c>
      <c r="AF64" s="108" t="s">
        <v>617</v>
      </c>
      <c r="AG64" s="61">
        <f t="shared" si="10"/>
        <v>139</v>
      </c>
      <c r="AH64" s="15"/>
      <c r="AI64" s="42" t="s">
        <v>394</v>
      </c>
      <c r="AJ64" s="32" t="s">
        <v>376</v>
      </c>
      <c r="AK64" s="12"/>
      <c r="AL64" s="2"/>
      <c r="AM64" s="2"/>
      <c r="AN64" s="42" t="s">
        <v>317</v>
      </c>
    </row>
    <row r="65" spans="4:40" ht="81">
      <c r="D65" s="127" t="s">
        <v>300</v>
      </c>
      <c r="E65" s="128" t="s">
        <v>16</v>
      </c>
      <c r="F65" s="128" t="s">
        <v>138</v>
      </c>
      <c r="G65" s="128" t="s">
        <v>115</v>
      </c>
      <c r="H65" s="129" t="s">
        <v>126</v>
      </c>
      <c r="I65" s="129" t="s">
        <v>157</v>
      </c>
      <c r="J65" s="106" t="s">
        <v>433</v>
      </c>
      <c r="K65" s="130" t="s">
        <v>413</v>
      </c>
      <c r="L65" s="128"/>
      <c r="M65" s="128"/>
      <c r="N65" s="128"/>
      <c r="O65" s="29">
        <v>43402</v>
      </c>
      <c r="P65" s="136">
        <v>43449</v>
      </c>
      <c r="Q65" s="132"/>
      <c r="R65" s="133">
        <f t="shared" si="13"/>
        <v>30</v>
      </c>
      <c r="S65" s="134">
        <f t="shared" si="9"/>
        <v>43419</v>
      </c>
      <c r="T65" s="135" t="str">
        <f t="shared" ca="1" si="12"/>
        <v>Уже не актуально</v>
      </c>
      <c r="U65" s="63" t="s">
        <v>11</v>
      </c>
      <c r="V65" s="29" t="s">
        <v>196</v>
      </c>
      <c r="W65" s="29"/>
      <c r="X65" s="29">
        <v>43434</v>
      </c>
      <c r="Y65" s="108" t="s">
        <v>477</v>
      </c>
      <c r="Z65" s="132">
        <v>43434</v>
      </c>
      <c r="AA65" s="136">
        <v>43436</v>
      </c>
      <c r="AB65" s="136" t="s">
        <v>228</v>
      </c>
      <c r="AC65" s="136" t="s">
        <v>228</v>
      </c>
      <c r="AD65" s="136" t="s">
        <v>228</v>
      </c>
      <c r="AE65" s="157">
        <v>43439</v>
      </c>
      <c r="AF65" s="108" t="s">
        <v>486</v>
      </c>
      <c r="AG65" s="61">
        <f t="shared" si="10"/>
        <v>-10</v>
      </c>
      <c r="AH65" s="15"/>
      <c r="AI65" s="42" t="s">
        <v>459</v>
      </c>
      <c r="AJ65" s="32" t="s">
        <v>376</v>
      </c>
      <c r="AK65" s="12"/>
      <c r="AL65" s="2"/>
      <c r="AM65" s="2"/>
      <c r="AN65" s="42" t="s">
        <v>317</v>
      </c>
    </row>
    <row r="66" spans="4:40" ht="81">
      <c r="D66" s="127" t="s">
        <v>300</v>
      </c>
      <c r="E66" s="128" t="s">
        <v>16</v>
      </c>
      <c r="F66" s="128" t="s">
        <v>138</v>
      </c>
      <c r="G66" s="128" t="s">
        <v>115</v>
      </c>
      <c r="H66" s="129" t="s">
        <v>126</v>
      </c>
      <c r="I66" s="129" t="s">
        <v>157</v>
      </c>
      <c r="J66" s="106" t="s">
        <v>433</v>
      </c>
      <c r="K66" s="130" t="s">
        <v>414</v>
      </c>
      <c r="L66" s="128"/>
      <c r="M66" s="128"/>
      <c r="N66" s="128"/>
      <c r="O66" s="29">
        <v>43402</v>
      </c>
      <c r="P66" s="136">
        <v>43449</v>
      </c>
      <c r="Q66" s="132"/>
      <c r="R66" s="133">
        <f t="shared" si="13"/>
        <v>30</v>
      </c>
      <c r="S66" s="134">
        <f t="shared" si="9"/>
        <v>43419</v>
      </c>
      <c r="T66" s="135" t="str">
        <f t="shared" ca="1" si="12"/>
        <v>Уже не актуально</v>
      </c>
      <c r="U66" s="63" t="s">
        <v>11</v>
      </c>
      <c r="V66" s="29" t="s">
        <v>196</v>
      </c>
      <c r="W66" s="29"/>
      <c r="X66" s="29">
        <f>P66</f>
        <v>43449</v>
      </c>
      <c r="Y66" s="108" t="s">
        <v>487</v>
      </c>
      <c r="Z66" s="132">
        <v>43448</v>
      </c>
      <c r="AA66" s="136">
        <v>43449</v>
      </c>
      <c r="AB66" s="136">
        <v>43449</v>
      </c>
      <c r="AC66" s="136" t="s">
        <v>228</v>
      </c>
      <c r="AD66" s="136" t="s">
        <v>228</v>
      </c>
      <c r="AE66" s="136">
        <v>43450</v>
      </c>
      <c r="AF66" s="108" t="s">
        <v>491</v>
      </c>
      <c r="AG66" s="61">
        <f t="shared" si="10"/>
        <v>1</v>
      </c>
      <c r="AH66" s="15"/>
      <c r="AI66" s="42" t="s">
        <v>460</v>
      </c>
      <c r="AJ66" s="32" t="s">
        <v>376</v>
      </c>
      <c r="AK66" s="12"/>
      <c r="AL66" s="2"/>
      <c r="AM66" s="2"/>
      <c r="AN66" s="42" t="s">
        <v>317</v>
      </c>
    </row>
    <row r="67" spans="4:40" ht="108">
      <c r="D67" s="127" t="s">
        <v>300</v>
      </c>
      <c r="E67" s="128" t="s">
        <v>16</v>
      </c>
      <c r="F67" s="128" t="s">
        <v>138</v>
      </c>
      <c r="G67" s="128" t="s">
        <v>115</v>
      </c>
      <c r="H67" s="129" t="s">
        <v>126</v>
      </c>
      <c r="I67" s="129" t="s">
        <v>157</v>
      </c>
      <c r="J67" s="128" t="s">
        <v>433</v>
      </c>
      <c r="K67" s="130" t="s">
        <v>439</v>
      </c>
      <c r="L67" s="128"/>
      <c r="M67" s="128"/>
      <c r="N67" s="128"/>
      <c r="O67" s="29">
        <v>43416</v>
      </c>
      <c r="P67" s="136">
        <v>43465</v>
      </c>
      <c r="Q67" s="132"/>
      <c r="R67" s="133">
        <f t="shared" si="13"/>
        <v>30</v>
      </c>
      <c r="S67" s="134">
        <f t="shared" si="9"/>
        <v>43435</v>
      </c>
      <c r="T67" s="135" t="str">
        <f t="shared" ca="1" si="12"/>
        <v>Уже не актуально</v>
      </c>
      <c r="U67" s="63" t="s">
        <v>11</v>
      </c>
      <c r="V67" s="29" t="s">
        <v>196</v>
      </c>
      <c r="W67" s="29"/>
      <c r="X67" s="29">
        <v>43462</v>
      </c>
      <c r="Y67" s="108" t="s">
        <v>493</v>
      </c>
      <c r="Z67" s="132">
        <v>43463</v>
      </c>
      <c r="AA67" s="136">
        <v>43467</v>
      </c>
      <c r="AB67" s="136">
        <v>43475</v>
      </c>
      <c r="AC67" s="136" t="s">
        <v>228</v>
      </c>
      <c r="AD67" s="136" t="s">
        <v>228</v>
      </c>
      <c r="AE67" s="157">
        <v>43481</v>
      </c>
      <c r="AF67" s="108" t="str">
        <f ca="1">IF(AE67&lt;TODAY()-5,IF(AE67="","Еще рано","Уже не актуально"),IF(AE67&gt;TODAY()-2,"Еще рано","Пора отправлять"))</f>
        <v>Уже не актуально</v>
      </c>
      <c r="AG67" s="61">
        <f t="shared" si="10"/>
        <v>16</v>
      </c>
      <c r="AH67" s="15"/>
      <c r="AI67" s="42" t="s">
        <v>488</v>
      </c>
      <c r="AJ67" s="32"/>
      <c r="AK67" s="12"/>
      <c r="AL67" s="2"/>
      <c r="AM67" s="2"/>
      <c r="AN67" s="42" t="s">
        <v>317</v>
      </c>
    </row>
    <row r="68" spans="4:40" ht="81">
      <c r="D68" s="127" t="s">
        <v>300</v>
      </c>
      <c r="E68" s="128" t="s">
        <v>16</v>
      </c>
      <c r="F68" s="128" t="s">
        <v>138</v>
      </c>
      <c r="G68" s="128" t="s">
        <v>115</v>
      </c>
      <c r="H68" s="129" t="s">
        <v>126</v>
      </c>
      <c r="I68" s="129" t="s">
        <v>157</v>
      </c>
      <c r="J68" s="128" t="s">
        <v>433</v>
      </c>
      <c r="K68" s="130" t="s">
        <v>453</v>
      </c>
      <c r="L68" s="128"/>
      <c r="M68" s="128"/>
      <c r="N68" s="128"/>
      <c r="O68" s="29">
        <v>43510</v>
      </c>
      <c r="P68" s="136">
        <v>43575</v>
      </c>
      <c r="Q68" s="132"/>
      <c r="R68" s="133">
        <f t="shared" si="13"/>
        <v>30</v>
      </c>
      <c r="S68" s="134">
        <f t="shared" si="9"/>
        <v>43545</v>
      </c>
      <c r="T68" s="135" t="str">
        <f t="shared" ca="1" si="12"/>
        <v>Уже не актуально</v>
      </c>
      <c r="U68" s="63" t="s">
        <v>11</v>
      </c>
      <c r="V68" s="29"/>
      <c r="W68" s="29"/>
      <c r="X68" s="29">
        <v>43600</v>
      </c>
      <c r="Y68" s="108" t="s">
        <v>617</v>
      </c>
      <c r="Z68" s="132">
        <v>43600</v>
      </c>
      <c r="AA68" s="136">
        <v>43608</v>
      </c>
      <c r="AB68" s="136">
        <v>43609</v>
      </c>
      <c r="AC68" s="136"/>
      <c r="AD68" s="136" t="str">
        <f>IF(AC68="","Рано","когда?")</f>
        <v>Рано</v>
      </c>
      <c r="AE68" s="157">
        <v>43613</v>
      </c>
      <c r="AF68" s="108" t="str">
        <f ca="1">IF(AE68&lt;TODAY()-5,IF(AE68="","Еще рано","Уже не актуально"),IF(AE68&gt;TODAY()-2,"Еще рано","Пора отправлять"))</f>
        <v>Уже не актуально</v>
      </c>
      <c r="AG68" s="61">
        <f t="shared" si="10"/>
        <v>38</v>
      </c>
      <c r="AH68" s="15"/>
      <c r="AI68" s="42" t="s">
        <v>529</v>
      </c>
      <c r="AJ68" s="32"/>
      <c r="AK68" s="12"/>
      <c r="AL68" s="2"/>
      <c r="AM68" s="2"/>
      <c r="AN68" s="42" t="s">
        <v>317</v>
      </c>
    </row>
    <row r="69" spans="4:40" ht="81">
      <c r="D69" s="127" t="s">
        <v>300</v>
      </c>
      <c r="E69" s="128" t="s">
        <v>16</v>
      </c>
      <c r="F69" s="128" t="s">
        <v>138</v>
      </c>
      <c r="G69" s="128" t="s">
        <v>115</v>
      </c>
      <c r="H69" s="129" t="s">
        <v>126</v>
      </c>
      <c r="I69" s="129" t="s">
        <v>157</v>
      </c>
      <c r="J69" s="128" t="s">
        <v>433</v>
      </c>
      <c r="K69" s="130" t="s">
        <v>527</v>
      </c>
      <c r="L69" s="128"/>
      <c r="M69" s="128"/>
      <c r="N69" s="128"/>
      <c r="O69" s="29">
        <v>43510</v>
      </c>
      <c r="P69" s="136">
        <v>43560</v>
      </c>
      <c r="Q69" s="132"/>
      <c r="R69" s="133">
        <f t="shared" si="13"/>
        <v>30</v>
      </c>
      <c r="S69" s="134">
        <f t="shared" si="9"/>
        <v>43530</v>
      </c>
      <c r="T69" s="135" t="str">
        <f t="shared" ca="1" si="12"/>
        <v>Уже не актуально</v>
      </c>
      <c r="U69" s="63" t="s">
        <v>11</v>
      </c>
      <c r="V69" s="29" t="s">
        <v>655</v>
      </c>
      <c r="W69" s="29"/>
      <c r="X69" s="29">
        <v>43552</v>
      </c>
      <c r="Y69" s="108" t="s">
        <v>601</v>
      </c>
      <c r="Z69" s="132">
        <v>43552</v>
      </c>
      <c r="AA69" s="136">
        <v>43556</v>
      </c>
      <c r="AB69" s="136">
        <v>43556</v>
      </c>
      <c r="AC69" s="136" t="s">
        <v>228</v>
      </c>
      <c r="AD69" s="136" t="s">
        <v>228</v>
      </c>
      <c r="AE69" s="157">
        <v>43557</v>
      </c>
      <c r="AF69" s="108" t="s">
        <v>617</v>
      </c>
      <c r="AG69" s="61">
        <f t="shared" si="10"/>
        <v>-3</v>
      </c>
      <c r="AH69" s="15"/>
      <c r="AI69" s="42" t="s">
        <v>530</v>
      </c>
      <c r="AJ69" s="32"/>
      <c r="AK69" s="12"/>
      <c r="AL69" s="2"/>
      <c r="AM69" s="2"/>
      <c r="AN69" s="42" t="s">
        <v>317</v>
      </c>
    </row>
    <row r="70" spans="4:40" ht="81">
      <c r="D70" s="127" t="s">
        <v>300</v>
      </c>
      <c r="E70" s="128" t="s">
        <v>16</v>
      </c>
      <c r="F70" s="128" t="s">
        <v>138</v>
      </c>
      <c r="G70" s="128" t="s">
        <v>115</v>
      </c>
      <c r="H70" s="129" t="s">
        <v>126</v>
      </c>
      <c r="I70" s="129" t="s">
        <v>157</v>
      </c>
      <c r="J70" s="128" t="s">
        <v>433</v>
      </c>
      <c r="K70" s="130" t="s">
        <v>528</v>
      </c>
      <c r="L70" s="128"/>
      <c r="M70" s="128"/>
      <c r="N70" s="128"/>
      <c r="O70" s="29">
        <v>43510</v>
      </c>
      <c r="P70" s="136">
        <v>43540</v>
      </c>
      <c r="Q70" s="132"/>
      <c r="R70" s="133">
        <f t="shared" si="13"/>
        <v>30</v>
      </c>
      <c r="S70" s="134">
        <f t="shared" si="9"/>
        <v>43510</v>
      </c>
      <c r="T70" s="135" t="str">
        <f t="shared" ca="1" si="12"/>
        <v>Уже не актуально</v>
      </c>
      <c r="U70" s="63" t="s">
        <v>11</v>
      </c>
      <c r="V70" s="29" t="s">
        <v>655</v>
      </c>
      <c r="W70" s="29"/>
      <c r="X70" s="29">
        <v>43575</v>
      </c>
      <c r="Y70" s="108" t="s">
        <v>617</v>
      </c>
      <c r="Z70" s="132">
        <v>43590</v>
      </c>
      <c r="AA70" s="136">
        <v>43594</v>
      </c>
      <c r="AB70" s="136">
        <v>43598</v>
      </c>
      <c r="AC70" s="136"/>
      <c r="AD70" s="136" t="str">
        <f>IF(AC70="","Рано","когда?")</f>
        <v>Рано</v>
      </c>
      <c r="AE70" s="157">
        <v>43593</v>
      </c>
      <c r="AF70" s="108" t="str">
        <f ca="1">IF(AE70&lt;TODAY()-5,IF(AE70="","Еще рано","Уже не актуально"),IF(AE70&gt;TODAY()-2,"Еще рано","Пора отправлять"))</f>
        <v>Уже не актуально</v>
      </c>
      <c r="AG70" s="61">
        <f t="shared" si="10"/>
        <v>53</v>
      </c>
      <c r="AH70" s="15"/>
      <c r="AI70" s="42" t="s">
        <v>531</v>
      </c>
      <c r="AJ70" s="32"/>
      <c r="AK70" s="12"/>
      <c r="AL70" s="2"/>
      <c r="AM70" s="2"/>
      <c r="AN70" s="42" t="s">
        <v>317</v>
      </c>
    </row>
  </sheetData>
  <mergeCells count="3">
    <mergeCell ref="AF13:AF14"/>
    <mergeCell ref="AE13:AE14"/>
    <mergeCell ref="AI49:AI50"/>
  </mergeCells>
  <phoneticPr fontId="50" type="noConversion"/>
  <conditionalFormatting sqref="G3:O4 R3:U5 AF2 A3:C3 W3:X4 Z3:AB4 W5:AA5 E5:O5 A4:D6 E6:K6 AA6 Q2:Q4 AC2:AC8 AD3:AF8 AG2:AG5 AG7:AG8 AL2:AO10 A7:Q7 S7:T10 W7:AB8 AH2:AJ8 A8:M10 W9:AJ10 O8:Q10">
    <cfRule type="timePeriod" dxfId="322" priority="325" timePeriod="today">
      <formula>FLOOR(A2,1)=TODAY()</formula>
    </cfRule>
  </conditionalFormatting>
  <conditionalFormatting sqref="R7">
    <cfRule type="timePeriod" dxfId="321" priority="324" timePeriod="today">
      <formula>FLOOR(R7,1)=TODAY()</formula>
    </cfRule>
  </conditionalFormatting>
  <conditionalFormatting sqref="E3:F4">
    <cfRule type="timePeriod" dxfId="320" priority="323" timePeriod="today">
      <formula>FLOOR(E3,1)=TODAY()</formula>
    </cfRule>
  </conditionalFormatting>
  <conditionalFormatting sqref="D3:D10">
    <cfRule type="timePeriod" dxfId="319" priority="322" timePeriod="today">
      <formula>FLOOR(D3,1)=TODAY()</formula>
    </cfRule>
  </conditionalFormatting>
  <conditionalFormatting sqref="U2">
    <cfRule type="cellIs" dxfId="318" priority="321" operator="between">
      <formula>$AG$4</formula>
      <formula>$AI$4</formula>
    </cfRule>
  </conditionalFormatting>
  <conditionalFormatting sqref="A2:B2 G2:M2 AD2:AE2 R2:U2 W2 O2 AD3">
    <cfRule type="timePeriod" dxfId="317" priority="320" timePeriod="today">
      <formula>FLOOR(A2,1)=TODAY()</formula>
    </cfRule>
  </conditionalFormatting>
  <conditionalFormatting sqref="C2">
    <cfRule type="timePeriod" dxfId="316" priority="319" timePeriod="today">
      <formula>FLOOR(C2,1)=TODAY()</formula>
    </cfRule>
  </conditionalFormatting>
  <conditionalFormatting sqref="E2:F2">
    <cfRule type="timePeriod" dxfId="315" priority="318" timePeriod="today">
      <formula>FLOOR(E2,1)=TODAY()</formula>
    </cfRule>
  </conditionalFormatting>
  <conditionalFormatting sqref="D2">
    <cfRule type="timePeriod" dxfId="314" priority="317" timePeriod="today">
      <formula>FLOOR(D2,1)=TODAY()</formula>
    </cfRule>
  </conditionalFormatting>
  <conditionalFormatting sqref="X2:Y2">
    <cfRule type="timePeriod" dxfId="313" priority="316" timePeriod="today">
      <formula>FLOOR(X2,1)=TODAY()</formula>
    </cfRule>
  </conditionalFormatting>
  <conditionalFormatting sqref="AB2">
    <cfRule type="timePeriod" dxfId="312" priority="315" timePeriod="today">
      <formula>FLOOR(AB2,1)=TODAY()</formula>
    </cfRule>
  </conditionalFormatting>
  <conditionalFormatting sqref="P2:P5">
    <cfRule type="timePeriod" dxfId="311" priority="314" timePeriod="today">
      <formula>FLOOR(P2,1)=TODAY()</formula>
    </cfRule>
  </conditionalFormatting>
  <conditionalFormatting sqref="P2:P5 P7:P10">
    <cfRule type="cellIs" dxfId="310" priority="313" operator="between">
      <formula>TODAY()-3</formula>
      <formula>TODAY()+5</formula>
    </cfRule>
  </conditionalFormatting>
  <conditionalFormatting sqref="Q2:Q4 Q7:Q10 AC2:AC10">
    <cfRule type="containsText" dxfId="309" priority="312" operator="containsText" text="Пора">
      <formula>NOT(ISERROR(SEARCH("Пора",Q2)))</formula>
    </cfRule>
  </conditionalFormatting>
  <conditionalFormatting sqref="AB2:AB4 AB7:AB10">
    <cfRule type="cellIs" dxfId="308" priority="311" operator="between">
      <formula>TODAY()-3</formula>
      <formula>TODAY()-5</formula>
    </cfRule>
  </conditionalFormatting>
  <conditionalFormatting sqref="AD2:AD10">
    <cfRule type="cellIs" dxfId="307" priority="309" operator="greaterThan">
      <formula>15</formula>
    </cfRule>
  </conditionalFormatting>
  <conditionalFormatting sqref="AA2">
    <cfRule type="timePeriod" dxfId="306" priority="308" timePeriod="today">
      <formula>FLOOR(AA2,1)=TODAY()</formula>
    </cfRule>
  </conditionalFormatting>
  <conditionalFormatting sqref="AA2:AA10">
    <cfRule type="containsText" dxfId="305" priority="307" operator="containsText" text="когда">
      <formula>NOT(ISERROR(SEARCH("когда",AA2)))</formula>
    </cfRule>
  </conditionalFormatting>
  <conditionalFormatting sqref="AB2:AB4 AB7:AB10">
    <cfRule type="cellIs" dxfId="304" priority="310" operator="between">
      <formula>TODAY()-3</formula>
      <formula>"СЕГОНДНЯ()-5"</formula>
    </cfRule>
  </conditionalFormatting>
  <conditionalFormatting sqref="Q5">
    <cfRule type="timePeriod" dxfId="303" priority="306" timePeriod="today">
      <formula>FLOOR(Q5,1)=TODAY()</formula>
    </cfRule>
  </conditionalFormatting>
  <conditionalFormatting sqref="Q5">
    <cfRule type="containsText" dxfId="302" priority="305" operator="containsText" text="Пора">
      <formula>NOT(ISERROR(SEARCH("Пора",Q5)))</formula>
    </cfRule>
  </conditionalFormatting>
  <conditionalFormatting sqref="N2">
    <cfRule type="timePeriod" dxfId="301" priority="304" timePeriod="today">
      <formula>FLOOR(N2,1)=TODAY()</formula>
    </cfRule>
  </conditionalFormatting>
  <conditionalFormatting sqref="N2">
    <cfRule type="containsText" dxfId="300" priority="303" operator="containsText" text="когда">
      <formula>NOT(ISERROR(SEARCH("когда",N2)))</formula>
    </cfRule>
  </conditionalFormatting>
  <conditionalFormatting sqref="X2:X10">
    <cfRule type="containsText" dxfId="299" priority="301" operator="containsText" text="пора">
      <formula>NOT(ISERROR(SEARCH("пора",X2)))</formula>
    </cfRule>
    <cfRule type="containsText" dxfId="298" priority="302" operator="containsText" text="назнач">
      <formula>NOT(ISERROR(SEARCH("назнач",X2)))</formula>
    </cfRule>
  </conditionalFormatting>
  <conditionalFormatting sqref="X3">
    <cfRule type="timePeriod" dxfId="297" priority="300" timePeriod="today">
      <formula>FLOOR(X3,1)=TODAY()</formula>
    </cfRule>
  </conditionalFormatting>
  <conditionalFormatting sqref="X4">
    <cfRule type="timePeriod" dxfId="296" priority="299" timePeriod="today">
      <formula>FLOOR(X4,1)=TODAY()</formula>
    </cfRule>
  </conditionalFormatting>
  <conditionalFormatting sqref="Y2">
    <cfRule type="containsText" dxfId="295" priority="297" operator="containsText" text="пора">
      <formula>NOT(ISERROR(SEARCH("пора",Y2)))</formula>
    </cfRule>
    <cfRule type="containsText" dxfId="294" priority="298" operator="containsText" text="назнач">
      <formula>NOT(ISERROR(SEARCH("назнач",Y2)))</formula>
    </cfRule>
  </conditionalFormatting>
  <conditionalFormatting sqref="Y3">
    <cfRule type="timePeriod" dxfId="293" priority="296" timePeriod="today">
      <formula>FLOOR(Y3,1)=TODAY()</formula>
    </cfRule>
  </conditionalFormatting>
  <conditionalFormatting sqref="Y3">
    <cfRule type="containsText" dxfId="292" priority="294" operator="containsText" text="пора">
      <formula>NOT(ISERROR(SEARCH("пора",Y3)))</formula>
    </cfRule>
    <cfRule type="containsText" dxfId="291" priority="295" operator="containsText" text="назнач">
      <formula>NOT(ISERROR(SEARCH("назнач",Y3)))</formula>
    </cfRule>
  </conditionalFormatting>
  <conditionalFormatting sqref="Y4">
    <cfRule type="timePeriod" dxfId="290" priority="293" timePeriod="today">
      <formula>FLOOR(Y4,1)=TODAY()</formula>
    </cfRule>
  </conditionalFormatting>
  <conditionalFormatting sqref="Y4">
    <cfRule type="containsText" dxfId="289" priority="291" operator="containsText" text="пора">
      <formula>NOT(ISERROR(SEARCH("пора",Y4)))</formula>
    </cfRule>
    <cfRule type="containsText" dxfId="288" priority="292" operator="containsText" text="назнач">
      <formula>NOT(ISERROR(SEARCH("назнач",Y4)))</formula>
    </cfRule>
  </conditionalFormatting>
  <conditionalFormatting sqref="Z2">
    <cfRule type="timePeriod" dxfId="287" priority="290" timePeriod="today">
      <formula>FLOOR(Z2,1)=TODAY()</formula>
    </cfRule>
  </conditionalFormatting>
  <conditionalFormatting sqref="N7">
    <cfRule type="cellIs" dxfId="286" priority="289" operator="between">
      <formula>$AG$4</formula>
      <formula>$AI$4</formula>
    </cfRule>
  </conditionalFormatting>
  <conditionalFormatting sqref="N7">
    <cfRule type="cellIs" dxfId="285" priority="288" operator="between">
      <formula>$AG$4</formula>
      <formula>$AI$4</formula>
    </cfRule>
  </conditionalFormatting>
  <conditionalFormatting sqref="N7">
    <cfRule type="containsText" dxfId="284" priority="287" operator="containsText" text="когда">
      <formula>NOT(ISERROR(SEARCH("когда",N7)))</formula>
    </cfRule>
  </conditionalFormatting>
  <conditionalFormatting sqref="N7">
    <cfRule type="cellIs" dxfId="283" priority="286" operator="between">
      <formula>$AG$4</formula>
      <formula>$AI$4</formula>
    </cfRule>
  </conditionalFormatting>
  <conditionalFormatting sqref="N7">
    <cfRule type="cellIs" dxfId="282" priority="285" operator="between">
      <formula>$AG$4</formula>
      <formula>$AI$4</formula>
    </cfRule>
  </conditionalFormatting>
  <conditionalFormatting sqref="N7">
    <cfRule type="containsText" dxfId="281" priority="284" operator="containsText" text="когда">
      <formula>NOT(ISERROR(SEARCH("когда",N7)))</formula>
    </cfRule>
  </conditionalFormatting>
  <conditionalFormatting sqref="N7">
    <cfRule type="cellIs" dxfId="280" priority="283" operator="between">
      <formula>$AG$4</formula>
      <formula>$AI$4</formula>
    </cfRule>
  </conditionalFormatting>
  <conditionalFormatting sqref="N7">
    <cfRule type="containsText" dxfId="279" priority="282" operator="containsText" text="когда">
      <formula>NOT(ISERROR(SEARCH("когда",N7)))</formula>
    </cfRule>
  </conditionalFormatting>
  <conditionalFormatting sqref="N7">
    <cfRule type="cellIs" dxfId="278" priority="281" operator="between">
      <formula>$AG$4</formula>
      <formula>$AI$4</formula>
    </cfRule>
  </conditionalFormatting>
  <conditionalFormatting sqref="N7">
    <cfRule type="containsText" dxfId="277" priority="280" operator="containsText" text="когда">
      <formula>NOT(ISERROR(SEARCH("когда",N7)))</formula>
    </cfRule>
  </conditionalFormatting>
  <conditionalFormatting sqref="L6:N6 P6:U6 W6:Z6">
    <cfRule type="timePeriod" dxfId="276" priority="279" timePeriod="today">
      <formula>FLOOR(L6,1)=TODAY()</formula>
    </cfRule>
  </conditionalFormatting>
  <conditionalFormatting sqref="AB5:AB6">
    <cfRule type="timePeriod" dxfId="275" priority="278" timePeriod="today">
      <formula>FLOOR(AB5,1)=TODAY()</formula>
    </cfRule>
  </conditionalFormatting>
  <conditionalFormatting sqref="AB5:AB6">
    <cfRule type="containsText" dxfId="274" priority="277" operator="containsText" text="когда">
      <formula>NOT(ISERROR(SEARCH("когда",AB5)))</formula>
    </cfRule>
  </conditionalFormatting>
  <conditionalFormatting sqref="U7:U10">
    <cfRule type="timePeriod" dxfId="273" priority="276" timePeriod="today">
      <formula>FLOOR(U7,1)=TODAY()</formula>
    </cfRule>
  </conditionalFormatting>
  <conditionalFormatting sqref="O6">
    <cfRule type="timePeriod" dxfId="272" priority="275" timePeriod="today">
      <formula>FLOOR(O6,1)=TODAY()</formula>
    </cfRule>
  </conditionalFormatting>
  <conditionalFormatting sqref="V2:V7">
    <cfRule type="timePeriod" dxfId="271" priority="274" timePeriod="today">
      <formula>FLOOR(V2,1)=TODAY()</formula>
    </cfRule>
  </conditionalFormatting>
  <conditionalFormatting sqref="V2:V7">
    <cfRule type="containsText" dxfId="270" priority="273" operator="containsText" text="Пора">
      <formula>NOT(ISERROR(SEARCH("Пора",V2)))</formula>
    </cfRule>
  </conditionalFormatting>
  <conditionalFormatting sqref="AK2:AK10">
    <cfRule type="timePeriod" dxfId="269" priority="272" timePeriod="today">
      <formula>FLOOR(AK2,1)=TODAY()</formula>
    </cfRule>
  </conditionalFormatting>
  <conditionalFormatting sqref="AG6">
    <cfRule type="timePeriod" dxfId="268" priority="271" timePeriod="today">
      <formula>FLOOR(AG6,1)=TODAY()</formula>
    </cfRule>
  </conditionalFormatting>
  <conditionalFormatting sqref="V8">
    <cfRule type="timePeriod" dxfId="267" priority="270" timePeriod="today">
      <formula>FLOOR(V8,1)=TODAY()</formula>
    </cfRule>
  </conditionalFormatting>
  <conditionalFormatting sqref="V8">
    <cfRule type="containsText" dxfId="266" priority="269" operator="containsText" text="Пора">
      <formula>NOT(ISERROR(SEARCH("Пора",V8)))</formula>
    </cfRule>
  </conditionalFormatting>
  <conditionalFormatting sqref="R8:R10">
    <cfRule type="timePeriod" dxfId="265" priority="268" timePeriod="today">
      <formula>FLOOR(R8,1)=TODAY()</formula>
    </cfRule>
  </conditionalFormatting>
  <conditionalFormatting sqref="Y8">
    <cfRule type="containsText" dxfId="264" priority="266" operator="containsText" text="пора">
      <formula>NOT(ISERROR(SEARCH("пора",Y8)))</formula>
    </cfRule>
    <cfRule type="containsText" dxfId="263" priority="267" operator="containsText" text="назнач">
      <formula>NOT(ISERROR(SEARCH("назнач",Y8)))</formula>
    </cfRule>
  </conditionalFormatting>
  <conditionalFormatting sqref="N8:N10">
    <cfRule type="timePeriod" dxfId="262" priority="265" timePeriod="today">
      <formula>FLOOR(N8,1)=TODAY()</formula>
    </cfRule>
  </conditionalFormatting>
  <conditionalFormatting sqref="N8:N10">
    <cfRule type="containsText" dxfId="261" priority="264" operator="containsText" text="когда">
      <formula>NOT(ISERROR(SEARCH("когда",N8)))</formula>
    </cfRule>
  </conditionalFormatting>
  <conditionalFormatting sqref="V9:V10">
    <cfRule type="timePeriod" dxfId="260" priority="263" timePeriod="today">
      <formula>FLOOR(V9,1)=TODAY()</formula>
    </cfRule>
  </conditionalFormatting>
  <conditionalFormatting sqref="V9:V10">
    <cfRule type="containsText" dxfId="259" priority="262" operator="containsText" text="Пора">
      <formula>NOT(ISERROR(SEARCH("Пора",V9)))</formula>
    </cfRule>
  </conditionalFormatting>
  <conditionalFormatting sqref="AD12:AF13 AD17:AE17 AD18:AF18 AD19:AE19 AD15:AF16 AD14 AF14 E12:O20 AD20:AF20 AL12:AL20 A12:C20 R12:AC20 AH12:AJ20 AG12:AG14 AG16:AG20">
    <cfRule type="timePeriod" dxfId="258" priority="260" timePeriod="today">
      <formula>FLOOR(A12,1)=TODAY()</formula>
    </cfRule>
  </conditionalFormatting>
  <conditionalFormatting sqref="Y18 N19:N20">
    <cfRule type="cellIs" dxfId="257" priority="259" operator="between">
      <formula>$AG$4</formula>
      <formula>$AI$4</formula>
    </cfRule>
  </conditionalFormatting>
  <conditionalFormatting sqref="D12">
    <cfRule type="timePeriod" dxfId="256" priority="258" timePeriod="today">
      <formula>FLOOR(D12,1)=TODAY()</formula>
    </cfRule>
  </conditionalFormatting>
  <conditionalFormatting sqref="D13">
    <cfRule type="timePeriod" dxfId="255" priority="257" timePeriod="today">
      <formula>FLOOR(D13,1)=TODAY()</formula>
    </cfRule>
  </conditionalFormatting>
  <conditionalFormatting sqref="D14:D20">
    <cfRule type="timePeriod" dxfId="254" priority="256" timePeriod="today">
      <formula>FLOOR(D14,1)=TODAY()</formula>
    </cfRule>
  </conditionalFormatting>
  <conditionalFormatting sqref="P12:P20">
    <cfRule type="timePeriod" dxfId="253" priority="255" timePeriod="today">
      <formula>FLOOR(P12,1)=TODAY()</formula>
    </cfRule>
  </conditionalFormatting>
  <conditionalFormatting sqref="P12:P20">
    <cfRule type="cellIs" dxfId="252" priority="254" operator="between">
      <formula>TODAY()-3</formula>
      <formula>TODAY()+5</formula>
    </cfRule>
  </conditionalFormatting>
  <conditionalFormatting sqref="Q12:Q20">
    <cfRule type="timePeriod" dxfId="251" priority="253" timePeriod="today">
      <formula>FLOOR(Q12,1)=TODAY()</formula>
    </cfRule>
  </conditionalFormatting>
  <conditionalFormatting sqref="Q12:Q20 AC12:AC20 V12:V20">
    <cfRule type="containsText" dxfId="250" priority="252" operator="containsText" text="Пора">
      <formula>NOT(ISERROR(SEARCH("Пора",Q12)))</formula>
    </cfRule>
  </conditionalFormatting>
  <conditionalFormatting sqref="AB12:AB20">
    <cfRule type="cellIs" dxfId="249" priority="251" operator="between">
      <formula>TODAY()-3</formula>
      <formula>TODAY()-5</formula>
    </cfRule>
  </conditionalFormatting>
  <conditionalFormatting sqref="AD12:AD20">
    <cfRule type="cellIs" dxfId="248" priority="249" operator="greaterThan">
      <formula>15</formula>
    </cfRule>
  </conditionalFormatting>
  <conditionalFormatting sqref="AA12:AA20">
    <cfRule type="containsText" dxfId="247" priority="248" operator="containsText" text="когда">
      <formula>NOT(ISERROR(SEARCH("когда",AA12)))</formula>
    </cfRule>
  </conditionalFormatting>
  <conditionalFormatting sqref="AB12:AB20">
    <cfRule type="cellIs" dxfId="246" priority="250" operator="between">
      <formula>TODAY()-3</formula>
      <formula>"СЕГОНДНЯ()-5"</formula>
    </cfRule>
  </conditionalFormatting>
  <conditionalFormatting sqref="N19:N20">
    <cfRule type="containsText" dxfId="245" priority="247" operator="containsText" text="когда">
      <formula>NOT(ISERROR(SEARCH("когда",N19)))</formula>
    </cfRule>
  </conditionalFormatting>
  <conditionalFormatting sqref="N19:N20">
    <cfRule type="containsText" dxfId="244" priority="246" operator="containsText" text="когда">
      <formula>NOT(ISERROR(SEARCH("когда",N19)))</formula>
    </cfRule>
  </conditionalFormatting>
  <conditionalFormatting sqref="N19:N20">
    <cfRule type="containsText" dxfId="243" priority="245" operator="containsText" text="когда">
      <formula>NOT(ISERROR(SEARCH("когда",N19)))</formula>
    </cfRule>
  </conditionalFormatting>
  <conditionalFormatting sqref="N19:N20">
    <cfRule type="containsText" dxfId="242" priority="244" operator="containsText" text="когда">
      <formula>NOT(ISERROR(SEARCH("когда",N19)))</formula>
    </cfRule>
  </conditionalFormatting>
  <conditionalFormatting sqref="X12:X20">
    <cfRule type="containsText" dxfId="241" priority="242" operator="containsText" text="пора">
      <formula>NOT(ISERROR(SEARCH("пора",X12)))</formula>
    </cfRule>
    <cfRule type="containsText" dxfId="240" priority="243" operator="containsText" text="назнач">
      <formula>NOT(ISERROR(SEARCH("назнач",X12)))</formula>
    </cfRule>
  </conditionalFormatting>
  <conditionalFormatting sqref="Y15">
    <cfRule type="containsText" dxfId="239" priority="240" operator="containsText" text="пора">
      <formula>NOT(ISERROR(SEARCH("пора",Y15)))</formula>
    </cfRule>
    <cfRule type="containsText" dxfId="238" priority="241" operator="containsText" text="назнач">
      <formula>NOT(ISERROR(SEARCH("назнач",Y15)))</formula>
    </cfRule>
  </conditionalFormatting>
  <conditionalFormatting sqref="Y16">
    <cfRule type="containsText" dxfId="237" priority="238" operator="containsText" text="пора">
      <formula>NOT(ISERROR(SEARCH("пора",Y16)))</formula>
    </cfRule>
    <cfRule type="containsText" dxfId="236" priority="239" operator="containsText" text="назнач">
      <formula>NOT(ISERROR(SEARCH("назнач",Y16)))</formula>
    </cfRule>
  </conditionalFormatting>
  <conditionalFormatting sqref="Y17">
    <cfRule type="containsText" dxfId="235" priority="236" operator="containsText" text="пора">
      <formula>NOT(ISERROR(SEARCH("пора",Y17)))</formula>
    </cfRule>
    <cfRule type="containsText" dxfId="234" priority="237" operator="containsText" text="назнач">
      <formula>NOT(ISERROR(SEARCH("назнач",Y17)))</formula>
    </cfRule>
  </conditionalFormatting>
  <conditionalFormatting sqref="Y19">
    <cfRule type="containsText" dxfId="233" priority="234" operator="containsText" text="пора">
      <formula>NOT(ISERROR(SEARCH("пора",Y19)))</formula>
    </cfRule>
    <cfRule type="containsText" dxfId="232" priority="235" operator="containsText" text="назнач">
      <formula>NOT(ISERROR(SEARCH("назнач",Y19)))</formula>
    </cfRule>
  </conditionalFormatting>
  <conditionalFormatting sqref="AB19">
    <cfRule type="containsText" dxfId="231" priority="233" operator="containsText" text="когда">
      <formula>NOT(ISERROR(SEARCH("когда",AB19)))</formula>
    </cfRule>
  </conditionalFormatting>
  <conditionalFormatting sqref="AK12:AK20">
    <cfRule type="timePeriod" dxfId="230" priority="232" timePeriod="today">
      <formula>FLOOR(AK12,1)=TODAY()</formula>
    </cfRule>
  </conditionalFormatting>
  <conditionalFormatting sqref="AG15">
    <cfRule type="timePeriod" dxfId="229" priority="231" timePeriod="today">
      <formula>FLOOR(AG15,1)=TODAY()</formula>
    </cfRule>
  </conditionalFormatting>
  <conditionalFormatting sqref="R22:U27 A22:B27 AD23:AD27 AD22:AF22 AL22:AL27 AH22:AJ27 AG23:AG27 AF23:AF30 AH28:AL30 W22:AC27 V22:V26 E22:O27">
    <cfRule type="timePeriod" dxfId="228" priority="229" timePeriod="today">
      <formula>FLOOR(A22,1)=TODAY()</formula>
    </cfRule>
  </conditionalFormatting>
  <conditionalFormatting sqref="W23 AB23 N25:N30 W25:W30">
    <cfRule type="cellIs" dxfId="227" priority="228" operator="between">
      <formula>$AG$4</formula>
      <formula>$AI$4</formula>
    </cfRule>
  </conditionalFormatting>
  <conditionalFormatting sqref="AE23:AE25">
    <cfRule type="timePeriod" dxfId="226" priority="227" timePeriod="today">
      <formula>FLOOR(AE23,1)=TODAY()</formula>
    </cfRule>
  </conditionalFormatting>
  <conditionalFormatting sqref="C23:C27">
    <cfRule type="timePeriod" dxfId="225" priority="226" timePeriod="today">
      <formula>FLOOR(C23,1)=TODAY()</formula>
    </cfRule>
  </conditionalFormatting>
  <conditionalFormatting sqref="C22:D22">
    <cfRule type="timePeriod" dxfId="224" priority="225" timePeriod="today">
      <formula>FLOOR(C22,1)=TODAY()</formula>
    </cfRule>
  </conditionalFormatting>
  <conditionalFormatting sqref="D23:D25">
    <cfRule type="timePeriod" dxfId="223" priority="224" timePeriod="today">
      <formula>FLOOR(D23,1)=TODAY()</formula>
    </cfRule>
  </conditionalFormatting>
  <conditionalFormatting sqref="D26:D27">
    <cfRule type="timePeriod" dxfId="222" priority="223" timePeriod="today">
      <formula>FLOOR(D26,1)=TODAY()</formula>
    </cfRule>
  </conditionalFormatting>
  <conditionalFormatting sqref="P22:P27">
    <cfRule type="timePeriod" dxfId="221" priority="222" timePeriod="today">
      <formula>FLOOR(P22,1)=TODAY()</formula>
    </cfRule>
  </conditionalFormatting>
  <conditionalFormatting sqref="P22:P27">
    <cfRule type="cellIs" dxfId="220" priority="221" operator="between">
      <formula>TODAY()-3</formula>
      <formula>TODAY()+5</formula>
    </cfRule>
  </conditionalFormatting>
  <conditionalFormatting sqref="Q22:Q27">
    <cfRule type="timePeriod" dxfId="219" priority="220" timePeriod="today">
      <formula>FLOOR(Q22,1)=TODAY()</formula>
    </cfRule>
  </conditionalFormatting>
  <conditionalFormatting sqref="Q22:Q27 V22:V26 AC22:AC27">
    <cfRule type="containsText" dxfId="218" priority="219" operator="containsText" text="Пора">
      <formula>NOT(ISERROR(SEARCH("Пора",Q22)))</formula>
    </cfRule>
  </conditionalFormatting>
  <conditionalFormatting sqref="AB22:AB27">
    <cfRule type="cellIs" dxfId="217" priority="218" operator="between">
      <formula>TODAY()-3</formula>
      <formula>TODAY()-5</formula>
    </cfRule>
  </conditionalFormatting>
  <conditionalFormatting sqref="AD22:AD27">
    <cfRule type="cellIs" dxfId="216" priority="216" operator="greaterThan">
      <formula>15</formula>
    </cfRule>
  </conditionalFormatting>
  <conditionalFormatting sqref="AA22:AA27">
    <cfRule type="containsText" dxfId="215" priority="215" operator="containsText" text="когда">
      <formula>NOT(ISERROR(SEARCH("когда",AA22)))</formula>
    </cfRule>
  </conditionalFormatting>
  <conditionalFormatting sqref="AB22:AB27">
    <cfRule type="cellIs" dxfId="214" priority="217" operator="between">
      <formula>TODAY()-3</formula>
      <formula>"СЕГОНДНЯ()-5"</formula>
    </cfRule>
  </conditionalFormatting>
  <conditionalFormatting sqref="X22:X27">
    <cfRule type="containsText" dxfId="213" priority="213" operator="containsText" text="пора">
      <formula>NOT(ISERROR(SEARCH("пора",X22)))</formula>
    </cfRule>
    <cfRule type="containsText" dxfId="212" priority="214" operator="containsText" text="назнач">
      <formula>NOT(ISERROR(SEARCH("назнач",X22)))</formula>
    </cfRule>
  </conditionalFormatting>
  <conditionalFormatting sqref="N25">
    <cfRule type="containsText" dxfId="211" priority="212" operator="containsText" text="когда">
      <formula>NOT(ISERROR(SEARCH("когда",N25)))</formula>
    </cfRule>
  </conditionalFormatting>
  <conditionalFormatting sqref="N25">
    <cfRule type="containsText" dxfId="210" priority="211" operator="containsText" text="когда">
      <formula>NOT(ISERROR(SEARCH("когда",N25)))</formula>
    </cfRule>
  </conditionalFormatting>
  <conditionalFormatting sqref="N25">
    <cfRule type="containsText" dxfId="209" priority="210" operator="containsText" text="когда">
      <formula>NOT(ISERROR(SEARCH("когда",N25)))</formula>
    </cfRule>
  </conditionalFormatting>
  <conditionalFormatting sqref="N25">
    <cfRule type="containsText" dxfId="208" priority="209" operator="containsText" text="когда">
      <formula>NOT(ISERROR(SEARCH("когда",N25)))</formula>
    </cfRule>
  </conditionalFormatting>
  <conditionalFormatting sqref="N26:N27">
    <cfRule type="containsText" dxfId="207" priority="208" operator="containsText" text="когда">
      <formula>NOT(ISERROR(SEARCH("когда",N26)))</formula>
    </cfRule>
  </conditionalFormatting>
  <conditionalFormatting sqref="N26:N27">
    <cfRule type="containsText" dxfId="206" priority="207" operator="containsText" text="когда">
      <formula>NOT(ISERROR(SEARCH("когда",N26)))</formula>
    </cfRule>
  </conditionalFormatting>
  <conditionalFormatting sqref="N26:N27">
    <cfRule type="containsText" dxfId="205" priority="206" operator="containsText" text="когда">
      <formula>NOT(ISERROR(SEARCH("когда",N26)))</formula>
    </cfRule>
  </conditionalFormatting>
  <conditionalFormatting sqref="N26:N27">
    <cfRule type="containsText" dxfId="204" priority="205" operator="containsText" text="когда">
      <formula>NOT(ISERROR(SEARCH("когда",N26)))</formula>
    </cfRule>
  </conditionalFormatting>
  <conditionalFormatting sqref="N26:N27">
    <cfRule type="containsText" dxfId="203" priority="204" operator="containsText" text="когда">
      <formula>NOT(ISERROR(SEARCH("когда",N26)))</formula>
    </cfRule>
  </conditionalFormatting>
  <conditionalFormatting sqref="N26:N27">
    <cfRule type="containsText" dxfId="202" priority="203" operator="containsText" text="когда">
      <formula>NOT(ISERROR(SEARCH("когда",N26)))</formula>
    </cfRule>
  </conditionalFormatting>
  <conditionalFormatting sqref="N26:N27">
    <cfRule type="containsText" dxfId="201" priority="202" operator="containsText" text="когда">
      <formula>NOT(ISERROR(SEARCH("когда",N26)))</formula>
    </cfRule>
  </conditionalFormatting>
  <conditionalFormatting sqref="N26:N27">
    <cfRule type="containsText" dxfId="200" priority="201" operator="containsText" text="когда">
      <formula>NOT(ISERROR(SEARCH("когда",N26)))</formula>
    </cfRule>
  </conditionalFormatting>
  <conditionalFormatting sqref="AE26:AE30">
    <cfRule type="timePeriod" dxfId="199" priority="200" timePeriod="today">
      <formula>FLOOR(AE26,1)=TODAY()</formula>
    </cfRule>
  </conditionalFormatting>
  <conditionalFormatting sqref="E28:O29 R28:U30 A28:B29 W28:W30 Y28:AD28 Y29:Z30 G30:O30 AB29:AD30">
    <cfRule type="timePeriod" dxfId="198" priority="198" timePeriod="today">
      <formula>FLOOR(A28,1)=TODAY()</formula>
    </cfRule>
  </conditionalFormatting>
  <conditionalFormatting sqref="C28:C29">
    <cfRule type="timePeriod" dxfId="197" priority="197" timePeriod="today">
      <formula>FLOOR(C28,1)=TODAY()</formula>
    </cfRule>
  </conditionalFormatting>
  <conditionalFormatting sqref="D28:D29">
    <cfRule type="timePeriod" dxfId="196" priority="196" timePeriod="today">
      <formula>FLOOR(D28,1)=TODAY()</formula>
    </cfRule>
  </conditionalFormatting>
  <conditionalFormatting sqref="P28:P30">
    <cfRule type="timePeriod" dxfId="195" priority="195" timePeriod="today">
      <formula>FLOOR(P28,1)=TODAY()</formula>
    </cfRule>
  </conditionalFormatting>
  <conditionalFormatting sqref="P28:P30">
    <cfRule type="cellIs" dxfId="194" priority="194" operator="between">
      <formula>TODAY()-3</formula>
      <formula>TODAY()+5</formula>
    </cfRule>
  </conditionalFormatting>
  <conditionalFormatting sqref="Q28">
    <cfRule type="timePeriod" dxfId="193" priority="193" timePeriod="today">
      <formula>FLOOR(Q28,1)=TODAY()</formula>
    </cfRule>
  </conditionalFormatting>
  <conditionalFormatting sqref="Q28 AC28:AC30">
    <cfRule type="containsText" dxfId="192" priority="192" operator="containsText" text="Пора">
      <formula>NOT(ISERROR(SEARCH("Пора",Q28)))</formula>
    </cfRule>
  </conditionalFormatting>
  <conditionalFormatting sqref="AB28:AB30">
    <cfRule type="cellIs" dxfId="191" priority="191" operator="between">
      <formula>TODAY()-3</formula>
      <formula>TODAY()-5</formula>
    </cfRule>
  </conditionalFormatting>
  <conditionalFormatting sqref="AD28:AD30">
    <cfRule type="cellIs" dxfId="190" priority="189" operator="greaterThan">
      <formula>15</formula>
    </cfRule>
  </conditionalFormatting>
  <conditionalFormatting sqref="AA28">
    <cfRule type="containsText" dxfId="189" priority="188" operator="containsText" text="когда">
      <formula>NOT(ISERROR(SEARCH("когда",AA28)))</formula>
    </cfRule>
  </conditionalFormatting>
  <conditionalFormatting sqref="AB28:AB30">
    <cfRule type="cellIs" dxfId="188" priority="190" operator="between">
      <formula>TODAY()-3</formula>
      <formula>"СЕГОНДНЯ()-5"</formula>
    </cfRule>
  </conditionalFormatting>
  <conditionalFormatting sqref="N28:N30">
    <cfRule type="containsText" dxfId="187" priority="187" operator="containsText" text="когда">
      <formula>NOT(ISERROR(SEARCH("когда",N28)))</formula>
    </cfRule>
  </conditionalFormatting>
  <conditionalFormatting sqref="N28:N30">
    <cfRule type="containsText" dxfId="186" priority="186" operator="containsText" text="когда">
      <formula>NOT(ISERROR(SEARCH("когда",N28)))</formula>
    </cfRule>
  </conditionalFormatting>
  <conditionalFormatting sqref="N28:N30">
    <cfRule type="containsText" dxfId="185" priority="185" operator="containsText" text="когда">
      <formula>NOT(ISERROR(SEARCH("когда",N28)))</formula>
    </cfRule>
  </conditionalFormatting>
  <conditionalFormatting sqref="N28:N30">
    <cfRule type="containsText" dxfId="184" priority="184" operator="containsText" text="когда">
      <formula>NOT(ISERROR(SEARCH("когда",N28)))</formula>
    </cfRule>
  </conditionalFormatting>
  <conditionalFormatting sqref="N28:N30">
    <cfRule type="containsText" dxfId="183" priority="183" operator="containsText" text="когда">
      <formula>NOT(ISERROR(SEARCH("когда",N28)))</formula>
    </cfRule>
  </conditionalFormatting>
  <conditionalFormatting sqref="N28:N30">
    <cfRule type="containsText" dxfId="182" priority="182" operator="containsText" text="когда">
      <formula>NOT(ISERROR(SEARCH("когда",N28)))</formula>
    </cfRule>
  </conditionalFormatting>
  <conditionalFormatting sqref="N28:N30">
    <cfRule type="containsText" dxfId="181" priority="181" operator="containsText" text="когда">
      <formula>NOT(ISERROR(SEARCH("когда",N28)))</formula>
    </cfRule>
  </conditionalFormatting>
  <conditionalFormatting sqref="N28:N30">
    <cfRule type="containsText" dxfId="180" priority="180" operator="containsText" text="когда">
      <formula>NOT(ISERROR(SEARCH("когда",N28)))</formula>
    </cfRule>
  </conditionalFormatting>
  <conditionalFormatting sqref="V27">
    <cfRule type="timePeriod" dxfId="179" priority="179" timePeriod="today">
      <formula>FLOOR(V27,1)=TODAY()</formula>
    </cfRule>
  </conditionalFormatting>
  <conditionalFormatting sqref="V27">
    <cfRule type="containsText" dxfId="178" priority="178" operator="containsText" text="Пора">
      <formula>NOT(ISERROR(SEARCH("Пора",V27)))</formula>
    </cfRule>
  </conditionalFormatting>
  <conditionalFormatting sqref="AK22:AK27">
    <cfRule type="timePeriod" dxfId="177" priority="177" timePeriod="today">
      <formula>FLOOR(AK22,1)=TODAY()</formula>
    </cfRule>
  </conditionalFormatting>
  <conditionalFormatting sqref="V28">
    <cfRule type="timePeriod" dxfId="176" priority="176" timePeriod="today">
      <formula>FLOOR(V28,1)=TODAY()</formula>
    </cfRule>
  </conditionalFormatting>
  <conditionalFormatting sqref="V28">
    <cfRule type="containsText" dxfId="175" priority="175" operator="containsText" text="Пора">
      <formula>NOT(ISERROR(SEARCH("Пора",V28)))</formula>
    </cfRule>
  </conditionalFormatting>
  <conditionalFormatting sqref="X28">
    <cfRule type="timePeriod" dxfId="174" priority="174" timePeriod="today">
      <formula>FLOOR(X28,1)=TODAY()</formula>
    </cfRule>
  </conditionalFormatting>
  <conditionalFormatting sqref="X28">
    <cfRule type="containsText" dxfId="173" priority="172" operator="containsText" text="пора">
      <formula>NOT(ISERROR(SEARCH("пора",X28)))</formula>
    </cfRule>
    <cfRule type="containsText" dxfId="172" priority="173" operator="containsText" text="назнач">
      <formula>NOT(ISERROR(SEARCH("назнач",X28)))</formula>
    </cfRule>
  </conditionalFormatting>
  <conditionalFormatting sqref="AG22 AG28:AG30">
    <cfRule type="timePeriod" dxfId="171" priority="171" timePeriod="today">
      <formula>FLOOR(AG22,1)=TODAY()</formula>
    </cfRule>
  </conditionalFormatting>
  <conditionalFormatting sqref="Q29:Q30">
    <cfRule type="timePeriod" dxfId="170" priority="170" timePeriod="today">
      <formula>FLOOR(Q29,1)=TODAY()</formula>
    </cfRule>
  </conditionalFormatting>
  <conditionalFormatting sqref="Q29:Q30">
    <cfRule type="containsText" dxfId="169" priority="169" operator="containsText" text="Пора">
      <formula>NOT(ISERROR(SEARCH("Пора",Q29)))</formula>
    </cfRule>
  </conditionalFormatting>
  <conditionalFormatting sqref="AA29:AA30">
    <cfRule type="timePeriod" dxfId="168" priority="168" timePeriod="today">
      <formula>FLOOR(AA29,1)=TODAY()</formula>
    </cfRule>
  </conditionalFormatting>
  <conditionalFormatting sqref="AA29:AA30">
    <cfRule type="containsText" dxfId="167" priority="167" operator="containsText" text="когда">
      <formula>NOT(ISERROR(SEARCH("когда",AA29)))</formula>
    </cfRule>
  </conditionalFormatting>
  <conditionalFormatting sqref="V29:V30">
    <cfRule type="timePeriod" dxfId="166" priority="166" timePeriod="today">
      <formula>FLOOR(V29,1)=TODAY()</formula>
    </cfRule>
  </conditionalFormatting>
  <conditionalFormatting sqref="V29:V30">
    <cfRule type="containsText" dxfId="165" priority="165" operator="containsText" text="Пора">
      <formula>NOT(ISERROR(SEARCH("Пора",V29)))</formula>
    </cfRule>
  </conditionalFormatting>
  <conditionalFormatting sqref="E30:F30 A30:B30">
    <cfRule type="timePeriod" dxfId="164" priority="164" timePeriod="today">
      <formula>FLOOR(A30,1)=TODAY()</formula>
    </cfRule>
  </conditionalFormatting>
  <conditionalFormatting sqref="C30">
    <cfRule type="timePeriod" dxfId="163" priority="163" timePeriod="today">
      <formula>FLOOR(C30,1)=TODAY()</formula>
    </cfRule>
  </conditionalFormatting>
  <conditionalFormatting sqref="D30">
    <cfRule type="timePeriod" dxfId="162" priority="162" timePeriod="today">
      <formula>FLOOR(D30,1)=TODAY()</formula>
    </cfRule>
  </conditionalFormatting>
  <conditionalFormatting sqref="X30">
    <cfRule type="timePeriod" dxfId="161" priority="161" timePeriod="today">
      <formula>FLOOR(X30,1)=TODAY()</formula>
    </cfRule>
  </conditionalFormatting>
  <conditionalFormatting sqref="X30">
    <cfRule type="containsText" dxfId="160" priority="159" operator="containsText" text="пора">
      <formula>NOT(ISERROR(SEARCH("пора",X30)))</formula>
    </cfRule>
    <cfRule type="containsText" dxfId="159" priority="160" operator="containsText" text="назнач">
      <formula>NOT(ISERROR(SEARCH("назнач",X30)))</formula>
    </cfRule>
  </conditionalFormatting>
  <conditionalFormatting sqref="X29">
    <cfRule type="timePeriod" dxfId="158" priority="158" timePeriod="today">
      <formula>FLOOR(X29,1)=TODAY()</formula>
    </cfRule>
  </conditionalFormatting>
  <conditionalFormatting sqref="X29">
    <cfRule type="containsText" dxfId="157" priority="156" operator="containsText" text="пора">
      <formula>NOT(ISERROR(SEARCH("пора",X29)))</formula>
    </cfRule>
    <cfRule type="containsText" dxfId="156" priority="157" operator="containsText" text="назнач">
      <formula>NOT(ISERROR(SEARCH("назнач",X29)))</formula>
    </cfRule>
  </conditionalFormatting>
  <conditionalFormatting sqref="AG1">
    <cfRule type="cellIs" dxfId="155" priority="153" operator="equal">
      <formula>$AI$3</formula>
    </cfRule>
    <cfRule type="cellIs" dxfId="154" priority="154" operator="equal">
      <formula>$AI$3</formula>
    </cfRule>
    <cfRule type="cellIs" dxfId="153" priority="155" operator="equal">
      <formula>"TODAY"</formula>
    </cfRule>
  </conditionalFormatting>
  <conditionalFormatting sqref="A1:AK1">
    <cfRule type="timePeriod" dxfId="152" priority="152" timePeriod="today">
      <formula>FLOOR(A1,1)=TODAY()</formula>
    </cfRule>
  </conditionalFormatting>
  <conditionalFormatting sqref="Q1">
    <cfRule type="containsText" dxfId="151" priority="151" operator="containsText" text="Пора">
      <formula>NOT(ISERROR(SEARCH("Пора",Q1)))</formula>
    </cfRule>
  </conditionalFormatting>
  <conditionalFormatting sqref="AB1">
    <cfRule type="cellIs" dxfId="150" priority="150" operator="between">
      <formula>TODAY()-3</formula>
      <formula>TODAY()-5</formula>
    </cfRule>
  </conditionalFormatting>
  <conditionalFormatting sqref="AD1">
    <cfRule type="cellIs" dxfId="149" priority="149" operator="greaterThan">
      <formula>15</formula>
    </cfRule>
  </conditionalFormatting>
  <conditionalFormatting sqref="AA1">
    <cfRule type="containsText" dxfId="148" priority="148" operator="containsText" text="когда">
      <formula>NOT(ISERROR(SEARCH("когда",AA1)))</formula>
    </cfRule>
  </conditionalFormatting>
  <conditionalFormatting sqref="X1">
    <cfRule type="containsText" dxfId="147" priority="146" operator="containsText" text="пора">
      <formula>NOT(ISERROR(SEARCH("пора",X1)))</formula>
    </cfRule>
    <cfRule type="containsText" dxfId="146" priority="147" operator="containsText" text="назнач">
      <formula>NOT(ISERROR(SEARCH("назнач",X1)))</formula>
    </cfRule>
  </conditionalFormatting>
  <conditionalFormatting sqref="AG34:AH41 AG32:AI33 R36:R42 H36:P42 Z32:AF41 D32:F42 H32:R35 Z42:AH42 AK32:AM42 AJ32:AJ36 AJ38:AJ42 S32:Y42">
    <cfRule type="timePeriod" dxfId="145" priority="144" timePeriod="today">
      <formula>FLOOR(D32,1)=TODAY()</formula>
    </cfRule>
  </conditionalFormatting>
  <conditionalFormatting sqref="G32">
    <cfRule type="timePeriod" dxfId="144" priority="143" timePeriod="today">
      <formula>FLOOR(G32,1)=TODAY()</formula>
    </cfRule>
  </conditionalFormatting>
  <conditionalFormatting sqref="G33">
    <cfRule type="timePeriod" dxfId="143" priority="142" timePeriod="today">
      <formula>FLOOR(G33,1)=TODAY()</formula>
    </cfRule>
  </conditionalFormatting>
  <conditionalFormatting sqref="G34:G42">
    <cfRule type="timePeriod" dxfId="142" priority="141" timePeriod="today">
      <formula>FLOOR(G34,1)=TODAY()</formula>
    </cfRule>
  </conditionalFormatting>
  <conditionalFormatting sqref="S32:S42">
    <cfRule type="cellIs" dxfId="141" priority="140" operator="between">
      <formula>TODAY()-3</formula>
      <formula>TODAY()+5</formula>
    </cfRule>
  </conditionalFormatting>
  <conditionalFormatting sqref="T32:T42 Y32:Y42 AF32:AF42">
    <cfRule type="containsText" dxfId="140" priority="139" operator="containsText" text="Пора">
      <formula>NOT(ISERROR(SEARCH("Пора",T32)))</formula>
    </cfRule>
  </conditionalFormatting>
  <conditionalFormatting sqref="AE32:AE42">
    <cfRule type="cellIs" dxfId="139" priority="138" operator="between">
      <formula>TODAY()-3</formula>
      <formula>TODAY()-5</formula>
    </cfRule>
  </conditionalFormatting>
  <conditionalFormatting sqref="AG32:AG42">
    <cfRule type="cellIs" dxfId="138" priority="136" operator="greaterThan">
      <formula>15</formula>
    </cfRule>
  </conditionalFormatting>
  <conditionalFormatting sqref="AD32:AD42">
    <cfRule type="containsText" dxfId="137" priority="135" operator="containsText" text="когда">
      <formula>NOT(ISERROR(SEARCH("когда",AD32)))</formula>
    </cfRule>
  </conditionalFormatting>
  <conditionalFormatting sqref="AE32:AE42">
    <cfRule type="cellIs" dxfId="136" priority="137" operator="between">
      <formula>TODAY()-3</formula>
      <formula>"СЕГОНДНЯ()-5"</formula>
    </cfRule>
  </conditionalFormatting>
  <conditionalFormatting sqref="AA32:AA42">
    <cfRule type="containsText" dxfId="135" priority="133" operator="containsText" text="пора">
      <formula>NOT(ISERROR(SEARCH("пора",AA32)))</formula>
    </cfRule>
    <cfRule type="containsText" dxfId="134" priority="134" operator="containsText" text="назнач">
      <formula>NOT(ISERROR(SEARCH("назнач",AA32)))</formula>
    </cfRule>
  </conditionalFormatting>
  <conditionalFormatting sqref="Q35">
    <cfRule type="containsText" dxfId="133" priority="132" operator="containsText" text="когда">
      <formula>NOT(ISERROR(SEARCH("когда",Q35)))</formula>
    </cfRule>
  </conditionalFormatting>
  <conditionalFormatting sqref="Q35">
    <cfRule type="containsText" dxfId="132" priority="131" operator="containsText" text="когда">
      <formula>NOT(ISERROR(SEARCH("когда",Q35)))</formula>
    </cfRule>
  </conditionalFormatting>
  <conditionalFormatting sqref="Q35">
    <cfRule type="containsText" dxfId="131" priority="130" operator="containsText" text="когда">
      <formula>NOT(ISERROR(SEARCH("когда",Q35)))</formula>
    </cfRule>
  </conditionalFormatting>
  <conditionalFormatting sqref="Q35">
    <cfRule type="containsText" dxfId="130" priority="129" operator="containsText" text="когда">
      <formula>NOT(ISERROR(SEARCH("когда",Q35)))</formula>
    </cfRule>
  </conditionalFormatting>
  <conditionalFormatting sqref="Q36">
    <cfRule type="timePeriod" dxfId="129" priority="128" timePeriod="today">
      <formula>FLOOR(Q36,1)=TODAY()</formula>
    </cfRule>
  </conditionalFormatting>
  <conditionalFormatting sqref="Q36">
    <cfRule type="cellIs" dxfId="128" priority="127" operator="between">
      <formula>TODAY()-3</formula>
      <formula>TODAY()+5</formula>
    </cfRule>
  </conditionalFormatting>
  <conditionalFormatting sqref="Q37:Q42">
    <cfRule type="timePeriod" dxfId="127" priority="126" timePeriod="today">
      <formula>FLOOR(Q37,1)=TODAY()</formula>
    </cfRule>
  </conditionalFormatting>
  <conditionalFormatting sqref="AN32:AN42">
    <cfRule type="timePeriod" dxfId="126" priority="125" timePeriod="today">
      <formula>FLOOR(AN32,1)=TODAY()</formula>
    </cfRule>
  </conditionalFormatting>
  <conditionalFormatting sqref="AJ37">
    <cfRule type="timePeriod" dxfId="125" priority="124" timePeriod="today">
      <formula>FLOOR(AJ37,1)=TODAY()</formula>
    </cfRule>
  </conditionalFormatting>
  <conditionalFormatting sqref="E44:S48 AG44:AM49 AJ50:AM50 AG50:AH50 Y49:Y59 D49:S59 AG51:AM59 D61:Q61 Z44:AF59 R61:R66 D64:Q67 D60:AM60 S61:AM61 S65:AM66 R67:AM67 D68:X68 S64:U64 Y64:AM64 Z69:AM70 D69:U70 W64 T44:X59 Z68 AB68:AM68 W69:X70">
    <cfRule type="timePeriod" dxfId="124" priority="122" timePeriod="today">
      <formula>FLOOR(D44,1)=TODAY()</formula>
    </cfRule>
  </conditionalFormatting>
  <conditionalFormatting sqref="O53:O54 Q49:Q70">
    <cfRule type="cellIs" dxfId="123" priority="121" operator="between">
      <formula>$AG$4</formula>
      <formula>$AI$4</formula>
    </cfRule>
  </conditionalFormatting>
  <conditionalFormatting sqref="AG47:AG61 AG64:AG70">
    <cfRule type="timePeriod" dxfId="122" priority="120" timePeriod="today">
      <formula>FLOOR(AG47,1)=TODAY()</formula>
    </cfRule>
  </conditionalFormatting>
  <conditionalFormatting sqref="S44:S61 S64:S70">
    <cfRule type="cellIs" dxfId="121" priority="119" operator="between">
      <formula>TODAY()-3</formula>
      <formula>TODAY()+5</formula>
    </cfRule>
  </conditionalFormatting>
  <conditionalFormatting sqref="T44:T61 AF44:AF61 Y49:Y61 Y64:Y67 T64:T70 AF64:AF70">
    <cfRule type="containsText" dxfId="120" priority="118" operator="containsText" text="Пора">
      <formula>NOT(ISERROR(SEARCH("Пора",T44)))</formula>
    </cfRule>
  </conditionalFormatting>
  <conditionalFormatting sqref="Y44:Y47">
    <cfRule type="timePeriod" dxfId="119" priority="117" timePeriod="today">
      <formula>FLOOR(Y44,1)=TODAY()</formula>
    </cfRule>
  </conditionalFormatting>
  <conditionalFormatting sqref="Y44:Y47">
    <cfRule type="containsText" dxfId="118" priority="116" operator="containsText" text="Пора">
      <formula>NOT(ISERROR(SEARCH("Пора",Y44)))</formula>
    </cfRule>
  </conditionalFormatting>
  <conditionalFormatting sqref="AE44:AE61 AE64:AE70">
    <cfRule type="cellIs" dxfId="117" priority="115" operator="between">
      <formula>TODAY()-3</formula>
      <formula>TODAY()-5</formula>
    </cfRule>
  </conditionalFormatting>
  <conditionalFormatting sqref="AG44:AG61 AG64:AG70">
    <cfRule type="cellIs" dxfId="116" priority="113" operator="greaterThan">
      <formula>15</formula>
    </cfRule>
  </conditionalFormatting>
  <conditionalFormatting sqref="AD44:AD61 AD64:AD70">
    <cfRule type="containsText" dxfId="115" priority="112" operator="containsText" text="когда">
      <formula>NOT(ISERROR(SEARCH("когда",AD44)))</formula>
    </cfRule>
  </conditionalFormatting>
  <conditionalFormatting sqref="AE44:AE61 AE64:AE70">
    <cfRule type="cellIs" dxfId="114" priority="114" operator="between">
      <formula>TODAY()-3</formula>
      <formula>"СЕГОНДНЯ()-5"</formula>
    </cfRule>
  </conditionalFormatting>
  <conditionalFormatting sqref="AA44:AA61 AA64:AA67 AA69:AA70">
    <cfRule type="containsText" dxfId="113" priority="110" operator="containsText" text="пора">
      <formula>NOT(ISERROR(SEARCH("пора",AA44)))</formula>
    </cfRule>
    <cfRule type="containsText" dxfId="112" priority="111" operator="containsText" text="назнач">
      <formula>NOT(ISERROR(SEARCH("назнач",AA44)))</formula>
    </cfRule>
  </conditionalFormatting>
  <conditionalFormatting sqref="Q49:Q61 Q64:Q70">
    <cfRule type="containsText" dxfId="111" priority="109" operator="containsText" text="когда">
      <formula>NOT(ISERROR(SEARCH("когда",Q49)))</formula>
    </cfRule>
  </conditionalFormatting>
  <conditionalFormatting sqref="Q49:Q61 Q64:Q70">
    <cfRule type="containsText" dxfId="110" priority="108" operator="containsText" text="когда">
      <formula>NOT(ISERROR(SEARCH("когда",Q49)))</formula>
    </cfRule>
  </conditionalFormatting>
  <conditionalFormatting sqref="Q49:Q61 Q64:Q70">
    <cfRule type="containsText" dxfId="109" priority="107" operator="containsText" text="когда">
      <formula>NOT(ISERROR(SEARCH("когда",Q49)))</formula>
    </cfRule>
  </conditionalFormatting>
  <conditionalFormatting sqref="Q49:Q61 Q64:Q70">
    <cfRule type="containsText" dxfId="108" priority="106" operator="containsText" text="когда">
      <formula>NOT(ISERROR(SEARCH("когда",Q49)))</formula>
    </cfRule>
  </conditionalFormatting>
  <conditionalFormatting sqref="AB46">
    <cfRule type="containsText" dxfId="107" priority="104" operator="containsText" text="пора">
      <formula>NOT(ISERROR(SEARCH("пора",AB46)))</formula>
    </cfRule>
    <cfRule type="containsText" dxfId="106" priority="105" operator="containsText" text="назнач">
      <formula>NOT(ISERROR(SEARCH("назнач",AB46)))</formula>
    </cfRule>
  </conditionalFormatting>
  <conditionalFormatting sqref="Q50:Q61 Q64:Q70">
    <cfRule type="containsText" dxfId="105" priority="103" operator="containsText" text="когда">
      <formula>NOT(ISERROR(SEARCH("когда",Q50)))</formula>
    </cfRule>
  </conditionalFormatting>
  <conditionalFormatting sqref="Q50:Q61 Q64:Q70">
    <cfRule type="containsText" dxfId="104" priority="102" operator="containsText" text="когда">
      <formula>NOT(ISERROR(SEARCH("когда",Q50)))</formula>
    </cfRule>
  </conditionalFormatting>
  <conditionalFormatting sqref="Q50:Q61 Q64:Q70">
    <cfRule type="containsText" dxfId="103" priority="101" operator="containsText" text="когда">
      <formula>NOT(ISERROR(SEARCH("когда",Q50)))</formula>
    </cfRule>
  </conditionalFormatting>
  <conditionalFormatting sqref="Q50:Q61 Q64:Q70">
    <cfRule type="containsText" dxfId="102" priority="100" operator="containsText" text="когда">
      <formula>NOT(ISERROR(SEARCH("когда",Q50)))</formula>
    </cfRule>
  </conditionalFormatting>
  <conditionalFormatting sqref="AE47">
    <cfRule type="containsText" dxfId="101" priority="99" operator="containsText" text="когда">
      <formula>NOT(ISERROR(SEARCH("когда",AE47)))</formula>
    </cfRule>
  </conditionalFormatting>
  <conditionalFormatting sqref="Y48">
    <cfRule type="timePeriod" dxfId="100" priority="98" timePeriod="today">
      <formula>FLOOR(Y48,1)=TODAY()</formula>
    </cfRule>
  </conditionalFormatting>
  <conditionalFormatting sqref="Y48">
    <cfRule type="containsText" dxfId="99" priority="97" operator="containsText" text="Пора">
      <formula>NOT(ISERROR(SEARCH("Пора",Y48)))</formula>
    </cfRule>
  </conditionalFormatting>
  <conditionalFormatting sqref="AB47">
    <cfRule type="containsText" dxfId="98" priority="95" operator="containsText" text="пора">
      <formula>NOT(ISERROR(SEARCH("пора",AB47)))</formula>
    </cfRule>
    <cfRule type="containsText" dxfId="97" priority="96" operator="containsText" text="назнач">
      <formula>NOT(ISERROR(SEARCH("назнач",AB47)))</formula>
    </cfRule>
  </conditionalFormatting>
  <conditionalFormatting sqref="O53">
    <cfRule type="containsText" dxfId="96" priority="94" operator="containsText" text="когда">
      <formula>NOT(ISERROR(SEARCH("когда",O53)))</formula>
    </cfRule>
  </conditionalFormatting>
  <conditionalFormatting sqref="O53">
    <cfRule type="containsText" dxfId="95" priority="93" operator="containsText" text="когда">
      <formula>NOT(ISERROR(SEARCH("когда",O53)))</formula>
    </cfRule>
  </conditionalFormatting>
  <conditionalFormatting sqref="O53">
    <cfRule type="containsText" dxfId="94" priority="92" operator="containsText" text="когда">
      <formula>NOT(ISERROR(SEARCH("когда",O53)))</formula>
    </cfRule>
  </conditionalFormatting>
  <conditionalFormatting sqref="O53">
    <cfRule type="containsText" dxfId="93" priority="91" operator="containsText" text="когда">
      <formula>NOT(ISERROR(SEARCH("когда",O53)))</formula>
    </cfRule>
  </conditionalFormatting>
  <conditionalFormatting sqref="O53">
    <cfRule type="containsText" dxfId="92" priority="90" operator="containsText" text="когда">
      <formula>NOT(ISERROR(SEARCH("когда",O53)))</formula>
    </cfRule>
  </conditionalFormatting>
  <conditionalFormatting sqref="O53">
    <cfRule type="containsText" dxfId="91" priority="89" operator="containsText" text="когда">
      <formula>NOT(ISERROR(SEARCH("когда",O53)))</formula>
    </cfRule>
  </conditionalFormatting>
  <conditionalFormatting sqref="O53">
    <cfRule type="containsText" dxfId="90" priority="88" operator="containsText" text="когда">
      <formula>NOT(ISERROR(SEARCH("когда",O53)))</formula>
    </cfRule>
  </conditionalFormatting>
  <conditionalFormatting sqref="O53">
    <cfRule type="containsText" dxfId="89" priority="87" operator="containsText" text="когда">
      <formula>NOT(ISERROR(SEARCH("когда",O53)))</formula>
    </cfRule>
  </conditionalFormatting>
  <conditionalFormatting sqref="O54">
    <cfRule type="containsText" dxfId="88" priority="86" operator="containsText" text="когда">
      <formula>NOT(ISERROR(SEARCH("когда",O54)))</formula>
    </cfRule>
  </conditionalFormatting>
  <conditionalFormatting sqref="O54">
    <cfRule type="containsText" dxfId="87" priority="85" operator="containsText" text="когда">
      <formula>NOT(ISERROR(SEARCH("когда",O54)))</formula>
    </cfRule>
  </conditionalFormatting>
  <conditionalFormatting sqref="O54">
    <cfRule type="containsText" dxfId="86" priority="84" operator="containsText" text="когда">
      <formula>NOT(ISERROR(SEARCH("когда",O54)))</formula>
    </cfRule>
  </conditionalFormatting>
  <conditionalFormatting sqref="O54">
    <cfRule type="containsText" dxfId="85" priority="83" operator="containsText" text="когда">
      <formula>NOT(ISERROR(SEARCH("когда",O54)))</formula>
    </cfRule>
  </conditionalFormatting>
  <conditionalFormatting sqref="O54">
    <cfRule type="containsText" dxfId="84" priority="82" operator="containsText" text="когда">
      <formula>NOT(ISERROR(SEARCH("когда",O54)))</formula>
    </cfRule>
  </conditionalFormatting>
  <conditionalFormatting sqref="O54">
    <cfRule type="containsText" dxfId="83" priority="81" operator="containsText" text="когда">
      <formula>NOT(ISERROR(SEARCH("когда",O54)))</formula>
    </cfRule>
  </conditionalFormatting>
  <conditionalFormatting sqref="O54">
    <cfRule type="containsText" dxfId="82" priority="80" operator="containsText" text="когда">
      <formula>NOT(ISERROR(SEARCH("когда",O54)))</formula>
    </cfRule>
  </conditionalFormatting>
  <conditionalFormatting sqref="O54">
    <cfRule type="containsText" dxfId="81" priority="79" operator="containsText" text="когда">
      <formula>NOT(ISERROR(SEARCH("когда",O54)))</formula>
    </cfRule>
  </conditionalFormatting>
  <conditionalFormatting sqref="AB49">
    <cfRule type="containsText" dxfId="80" priority="77" operator="containsText" text="пора">
      <formula>NOT(ISERROR(SEARCH("пора",AB49)))</formula>
    </cfRule>
    <cfRule type="containsText" dxfId="79" priority="78" operator="containsText" text="назнач">
      <formula>NOT(ISERROR(SEARCH("назнач",AB49)))</formula>
    </cfRule>
  </conditionalFormatting>
  <conditionalFormatting sqref="AB50">
    <cfRule type="containsText" dxfId="78" priority="75" operator="containsText" text="пора">
      <formula>NOT(ISERROR(SEARCH("пора",AB50)))</formula>
    </cfRule>
    <cfRule type="containsText" dxfId="77" priority="76" operator="containsText" text="назнач">
      <formula>NOT(ISERROR(SEARCH("назнач",AB50)))</formula>
    </cfRule>
  </conditionalFormatting>
  <conditionalFormatting sqref="D44:D48">
    <cfRule type="timePeriod" dxfId="76" priority="74" timePeriod="today">
      <formula>FLOOR(D44,1)=TODAY()</formula>
    </cfRule>
  </conditionalFormatting>
  <conditionalFormatting sqref="AN44:AN61 AN64:AN70">
    <cfRule type="timePeriod" dxfId="75" priority="73" timePeriod="today">
      <formula>FLOOR(AN44,1)=TODAY()</formula>
    </cfRule>
  </conditionalFormatting>
  <conditionalFormatting sqref="AB53">
    <cfRule type="containsText" dxfId="74" priority="71" operator="containsText" text="пора">
      <formula>NOT(ISERROR(SEARCH("пора",AB53)))</formula>
    </cfRule>
    <cfRule type="containsText" dxfId="73" priority="72" operator="containsText" text="назнач">
      <formula>NOT(ISERROR(SEARCH("назнач",AB53)))</formula>
    </cfRule>
  </conditionalFormatting>
  <conditionalFormatting sqref="D62:Q62 AK62:AM62 S62:Z62 AB62 AE62:AI62">
    <cfRule type="timePeriod" dxfId="72" priority="69" timePeriod="today">
      <formula>FLOOR(D62,1)=TODAY()</formula>
    </cfRule>
  </conditionalFormatting>
  <conditionalFormatting sqref="AG62">
    <cfRule type="timePeriod" dxfId="71" priority="68" timePeriod="today">
      <formula>FLOOR(AG62,1)=TODAY()</formula>
    </cfRule>
  </conditionalFormatting>
  <conditionalFormatting sqref="S62">
    <cfRule type="cellIs" dxfId="70" priority="67" operator="between">
      <formula>TODAY()-3</formula>
      <formula>TODAY()+5</formula>
    </cfRule>
  </conditionalFormatting>
  <conditionalFormatting sqref="AF62 Y62 T62">
    <cfRule type="containsText" dxfId="69" priority="66" operator="containsText" text="Пора">
      <formula>NOT(ISERROR(SEARCH("Пора",T62)))</formula>
    </cfRule>
  </conditionalFormatting>
  <conditionalFormatting sqref="AE62">
    <cfRule type="cellIs" dxfId="68" priority="65" operator="between">
      <formula>TODAY()-3</formula>
      <formula>TODAY()-5</formula>
    </cfRule>
  </conditionalFormatting>
  <conditionalFormatting sqref="AG62">
    <cfRule type="cellIs" dxfId="67" priority="63" operator="greaterThan">
      <formula>15</formula>
    </cfRule>
  </conditionalFormatting>
  <conditionalFormatting sqref="AE62">
    <cfRule type="cellIs" dxfId="66" priority="64" operator="between">
      <formula>TODAY()-3</formula>
      <formula>"СЕГОНДНЯ()-5"</formula>
    </cfRule>
  </conditionalFormatting>
  <conditionalFormatting sqref="Q62">
    <cfRule type="containsText" dxfId="65" priority="62" operator="containsText" text="когда">
      <formula>NOT(ISERROR(SEARCH("когда",Q62)))</formula>
    </cfRule>
  </conditionalFormatting>
  <conditionalFormatting sqref="Q62">
    <cfRule type="containsText" dxfId="64" priority="61" operator="containsText" text="когда">
      <formula>NOT(ISERROR(SEARCH("когда",Q62)))</formula>
    </cfRule>
  </conditionalFormatting>
  <conditionalFormatting sqref="Q62">
    <cfRule type="containsText" dxfId="63" priority="60" operator="containsText" text="когда">
      <formula>NOT(ISERROR(SEARCH("когда",Q62)))</formula>
    </cfRule>
  </conditionalFormatting>
  <conditionalFormatting sqref="Q62">
    <cfRule type="containsText" dxfId="62" priority="59" operator="containsText" text="когда">
      <formula>NOT(ISERROR(SEARCH("когда",Q62)))</formula>
    </cfRule>
  </conditionalFormatting>
  <conditionalFormatting sqref="Q62">
    <cfRule type="containsText" dxfId="61" priority="58" operator="containsText" text="когда">
      <formula>NOT(ISERROR(SEARCH("когда",Q62)))</formula>
    </cfRule>
  </conditionalFormatting>
  <conditionalFormatting sqref="Q62">
    <cfRule type="containsText" dxfId="60" priority="57" operator="containsText" text="когда">
      <formula>NOT(ISERROR(SEARCH("когда",Q62)))</formula>
    </cfRule>
  </conditionalFormatting>
  <conditionalFormatting sqref="Q62">
    <cfRule type="containsText" dxfId="59" priority="56" operator="containsText" text="когда">
      <formula>NOT(ISERROR(SEARCH("когда",Q62)))</formula>
    </cfRule>
  </conditionalFormatting>
  <conditionalFormatting sqref="Q62">
    <cfRule type="containsText" dxfId="58" priority="55" operator="containsText" text="когда">
      <formula>NOT(ISERROR(SEARCH("когда",Q62)))</formula>
    </cfRule>
  </conditionalFormatting>
  <conditionalFormatting sqref="AN62">
    <cfRule type="timePeriod" dxfId="57" priority="54" timePeriod="today">
      <formula>FLOOR(AN62,1)=TODAY()</formula>
    </cfRule>
  </conditionalFormatting>
  <conditionalFormatting sqref="AJ62">
    <cfRule type="timePeriod" dxfId="56" priority="53" timePeriod="today">
      <formula>FLOOR(AJ62,1)=TODAY()</formula>
    </cfRule>
  </conditionalFormatting>
  <conditionalFormatting sqref="D63:Q63 S63:U63 AD63:AM63 W63:AA63">
    <cfRule type="timePeriod" dxfId="55" priority="51" timePeriod="today">
      <formula>FLOOR(D63,1)=TODAY()</formula>
    </cfRule>
  </conditionalFormatting>
  <conditionalFormatting sqref="AG63">
    <cfRule type="timePeriod" dxfId="54" priority="50" timePeriod="today">
      <formula>FLOOR(AG63,1)=TODAY()</formula>
    </cfRule>
  </conditionalFormatting>
  <conditionalFormatting sqref="S63">
    <cfRule type="cellIs" dxfId="53" priority="49" operator="between">
      <formula>TODAY()-3</formula>
      <formula>TODAY()+5</formula>
    </cfRule>
  </conditionalFormatting>
  <conditionalFormatting sqref="Y63 T63 AF63">
    <cfRule type="containsText" dxfId="52" priority="48" operator="containsText" text="Пора">
      <formula>NOT(ISERROR(SEARCH("Пора",T63)))</formula>
    </cfRule>
  </conditionalFormatting>
  <conditionalFormatting sqref="AE63">
    <cfRule type="cellIs" dxfId="51" priority="47" operator="between">
      <formula>TODAY()-3</formula>
      <formula>TODAY()-5</formula>
    </cfRule>
  </conditionalFormatting>
  <conditionalFormatting sqref="AG63">
    <cfRule type="cellIs" dxfId="50" priority="45" operator="greaterThan">
      <formula>15</formula>
    </cfRule>
  </conditionalFormatting>
  <conditionalFormatting sqref="AD63">
    <cfRule type="containsText" dxfId="49" priority="44" operator="containsText" text="когда">
      <formula>NOT(ISERROR(SEARCH("когда",AD63)))</formula>
    </cfRule>
  </conditionalFormatting>
  <conditionalFormatting sqref="AE63">
    <cfRule type="cellIs" dxfId="48" priority="46" operator="between">
      <formula>TODAY()-3</formula>
      <formula>"СЕГОНДНЯ()-5"</formula>
    </cfRule>
  </conditionalFormatting>
  <conditionalFormatting sqref="AA63">
    <cfRule type="containsText" dxfId="47" priority="42" operator="containsText" text="пора">
      <formula>NOT(ISERROR(SEARCH("пора",AA63)))</formula>
    </cfRule>
    <cfRule type="containsText" dxfId="46" priority="43" operator="containsText" text="назнач">
      <formula>NOT(ISERROR(SEARCH("назнач",AA63)))</formula>
    </cfRule>
  </conditionalFormatting>
  <conditionalFormatting sqref="Q63">
    <cfRule type="containsText" dxfId="45" priority="41" operator="containsText" text="когда">
      <formula>NOT(ISERROR(SEARCH("когда",Q63)))</formula>
    </cfRule>
  </conditionalFormatting>
  <conditionalFormatting sqref="Q63">
    <cfRule type="containsText" dxfId="44" priority="40" operator="containsText" text="когда">
      <formula>NOT(ISERROR(SEARCH("когда",Q63)))</formula>
    </cfRule>
  </conditionalFormatting>
  <conditionalFormatting sqref="Q63">
    <cfRule type="containsText" dxfId="43" priority="39" operator="containsText" text="когда">
      <formula>NOT(ISERROR(SEARCH("когда",Q63)))</formula>
    </cfRule>
  </conditionalFormatting>
  <conditionalFormatting sqref="Q63">
    <cfRule type="containsText" dxfId="42" priority="38" operator="containsText" text="когда">
      <formula>NOT(ISERROR(SEARCH("когда",Q63)))</formula>
    </cfRule>
  </conditionalFormatting>
  <conditionalFormatting sqref="Q63">
    <cfRule type="containsText" dxfId="41" priority="37" operator="containsText" text="когда">
      <formula>NOT(ISERROR(SEARCH("когда",Q63)))</formula>
    </cfRule>
  </conditionalFormatting>
  <conditionalFormatting sqref="Q63">
    <cfRule type="containsText" dxfId="40" priority="36" operator="containsText" text="когда">
      <formula>NOT(ISERROR(SEARCH("когда",Q63)))</formula>
    </cfRule>
  </conditionalFormatting>
  <conditionalFormatting sqref="Q63">
    <cfRule type="containsText" dxfId="39" priority="35" operator="containsText" text="когда">
      <formula>NOT(ISERROR(SEARCH("когда",Q63)))</formula>
    </cfRule>
  </conditionalFormatting>
  <conditionalFormatting sqref="Q63">
    <cfRule type="containsText" dxfId="38" priority="34" operator="containsText" text="когда">
      <formula>NOT(ISERROR(SEARCH("когда",Q63)))</formula>
    </cfRule>
  </conditionalFormatting>
  <conditionalFormatting sqref="AN63">
    <cfRule type="timePeriod" dxfId="37" priority="33" timePeriod="today">
      <formula>FLOOR(AN63,1)=TODAY()</formula>
    </cfRule>
  </conditionalFormatting>
  <conditionalFormatting sqref="AB66">
    <cfRule type="containsText" dxfId="36" priority="31" operator="containsText" text="пора">
      <formula>NOT(ISERROR(SEARCH("пора",AB66)))</formula>
    </cfRule>
    <cfRule type="containsText" dxfId="35" priority="32" operator="containsText" text="назнач">
      <formula>NOT(ISERROR(SEARCH("назнач",AB66)))</formula>
    </cfRule>
  </conditionalFormatting>
  <conditionalFormatting sqref="AB66">
    <cfRule type="containsText" dxfId="34" priority="29" operator="containsText" text="пора">
      <formula>NOT(ISERROR(SEARCH("пора",AB66)))</formula>
    </cfRule>
    <cfRule type="containsText" dxfId="33" priority="30" operator="containsText" text="назнач">
      <formula>NOT(ISERROR(SEARCH("назнач",AB66)))</formula>
    </cfRule>
  </conditionalFormatting>
  <conditionalFormatting sqref="AE66">
    <cfRule type="containsText" dxfId="32" priority="27" operator="containsText" text="пора">
      <formula>NOT(ISERROR(SEARCH("пора",AE66)))</formula>
    </cfRule>
    <cfRule type="containsText" dxfId="31" priority="28" operator="containsText" text="назнач">
      <formula>NOT(ISERROR(SEARCH("назнач",AE66)))</formula>
    </cfRule>
  </conditionalFormatting>
  <conditionalFormatting sqref="AA62">
    <cfRule type="timePeriod" dxfId="30" priority="26" timePeriod="today">
      <formula>FLOOR(AA62,1)=TODAY()</formula>
    </cfRule>
  </conditionalFormatting>
  <conditionalFormatting sqref="AA62">
    <cfRule type="containsText" dxfId="29" priority="24" operator="containsText" text="пора">
      <formula>NOT(ISERROR(SEARCH("пора",AA62)))</formula>
    </cfRule>
    <cfRule type="containsText" dxfId="28" priority="25" operator="containsText" text="назнач">
      <formula>NOT(ISERROR(SEARCH("назнач",AA62)))</formula>
    </cfRule>
  </conditionalFormatting>
  <conditionalFormatting sqref="AC62">
    <cfRule type="timePeriod" dxfId="27" priority="23" timePeriod="today">
      <formula>FLOOR(AC62,1)=TODAY()</formula>
    </cfRule>
  </conditionalFormatting>
  <conditionalFormatting sqref="AD62">
    <cfRule type="timePeriod" dxfId="26" priority="22" timePeriod="today">
      <formula>FLOOR(AD62,1)=TODAY()</formula>
    </cfRule>
  </conditionalFormatting>
  <conditionalFormatting sqref="AD62">
    <cfRule type="containsText" dxfId="25" priority="21" operator="containsText" text="когда">
      <formula>NOT(ISERROR(SEARCH("когда",AD62)))</formula>
    </cfRule>
  </conditionalFormatting>
  <conditionalFormatting sqref="Y68">
    <cfRule type="timePeriod" dxfId="24" priority="20" timePeriod="today">
      <formula>FLOOR(Y68,1)=TODAY()</formula>
    </cfRule>
  </conditionalFormatting>
  <conditionalFormatting sqref="Y68">
    <cfRule type="containsText" dxfId="23" priority="19" operator="containsText" text="Пора">
      <formula>NOT(ISERROR(SEARCH("Пора",Y68)))</formula>
    </cfRule>
  </conditionalFormatting>
  <conditionalFormatting sqref="Y69">
    <cfRule type="timePeriod" dxfId="22" priority="18" timePeriod="today">
      <formula>FLOOR(Y69,1)=TODAY()</formula>
    </cfRule>
  </conditionalFormatting>
  <conditionalFormatting sqref="Y69">
    <cfRule type="containsText" dxfId="21" priority="17" operator="containsText" text="Пора">
      <formula>NOT(ISERROR(SEARCH("Пора",Y69)))</formula>
    </cfRule>
  </conditionalFormatting>
  <conditionalFormatting sqref="Y70">
    <cfRule type="timePeriod" dxfId="20" priority="16" timePeriod="today">
      <formula>FLOOR(Y70,1)=TODAY()</formula>
    </cfRule>
  </conditionalFormatting>
  <conditionalFormatting sqref="Y70">
    <cfRule type="containsText" dxfId="19" priority="15" operator="containsText" text="Пора">
      <formula>NOT(ISERROR(SEARCH("Пора",Y70)))</formula>
    </cfRule>
  </conditionalFormatting>
  <conditionalFormatting sqref="X64">
    <cfRule type="timePeriod" dxfId="18" priority="14" timePeriod="today">
      <formula>FLOOR(X64,1)=TODAY()</formula>
    </cfRule>
  </conditionalFormatting>
  <conditionalFormatting sqref="AC63">
    <cfRule type="timePeriod" dxfId="17" priority="13" timePeriod="today">
      <formula>FLOOR(AC63,1)=TODAY()</formula>
    </cfRule>
  </conditionalFormatting>
  <conditionalFormatting sqref="V63">
    <cfRule type="timePeriod" dxfId="16" priority="12" timePeriod="today">
      <formula>FLOOR(V63,1)=TODAY()</formula>
    </cfRule>
  </conditionalFormatting>
  <conditionalFormatting sqref="AB63">
    <cfRule type="timePeriod" dxfId="15" priority="11" timePeriod="today">
      <formula>FLOOR(AB63,1)=TODAY()</formula>
    </cfRule>
  </conditionalFormatting>
  <conditionalFormatting sqref="AB64">
    <cfRule type="containsText" dxfId="14" priority="9" operator="containsText" text="пора">
      <formula>NOT(ISERROR(SEARCH("пора",AB64)))</formula>
    </cfRule>
    <cfRule type="containsText" dxfId="13" priority="10" operator="containsText" text="назнач">
      <formula>NOT(ISERROR(SEARCH("назнач",AB64)))</formula>
    </cfRule>
  </conditionalFormatting>
  <conditionalFormatting sqref="AB69">
    <cfRule type="containsText" dxfId="12" priority="7" operator="containsText" text="пора">
      <formula>NOT(ISERROR(SEARCH("пора",AB69)))</formula>
    </cfRule>
    <cfRule type="containsText" dxfId="11" priority="8" operator="containsText" text="назнач">
      <formula>NOT(ISERROR(SEARCH("назнач",AB69)))</formula>
    </cfRule>
  </conditionalFormatting>
  <conditionalFormatting sqref="V69">
    <cfRule type="timePeriod" dxfId="10" priority="6" timePeriod="today">
      <formula>FLOOR(V69,1)=TODAY()</formula>
    </cfRule>
  </conditionalFormatting>
  <conditionalFormatting sqref="V64">
    <cfRule type="timePeriod" dxfId="9" priority="5" timePeriod="today">
      <formula>FLOOR(V64,1)=TODAY()</formula>
    </cfRule>
  </conditionalFormatting>
  <conditionalFormatting sqref="AA68">
    <cfRule type="timePeriod" dxfId="8" priority="4" timePeriod="today">
      <formula>FLOOR(AA68,1)=TODAY()</formula>
    </cfRule>
  </conditionalFormatting>
  <conditionalFormatting sqref="AA68">
    <cfRule type="containsText" dxfId="7" priority="2" operator="containsText" text="пора">
      <formula>NOT(ISERROR(SEARCH("пора",AA68)))</formula>
    </cfRule>
    <cfRule type="containsText" dxfId="6" priority="3" operator="containsText" text="назнач">
      <formula>NOT(ISERROR(SEARCH("назнач",AA68)))</formula>
    </cfRule>
  </conditionalFormatting>
  <conditionalFormatting sqref="V70">
    <cfRule type="timePeriod" dxfId="5" priority="1" timePeriod="today">
      <formula>FLOOR(V70,1)=TODAY()</formula>
    </cfRule>
  </conditionalFormatting>
  <dataValidations count="1">
    <dataValidation type="list" allowBlank="1" showInputMessage="1" showErrorMessage="1" sqref="AG2:AG10 AG12:AG20 AG22:AG30 AJ32:AJ42 AJ56:AJ70">
      <formula1>$AH$18:$AH$23</formula1>
    </dataValidation>
  </dataValidations>
  <hyperlinks>
    <hyperlink ref="D6" r:id="rId1"/>
    <hyperlink ref="AF8" r:id="rId2"/>
    <hyperlink ref="AF9" r:id="rId3"/>
    <hyperlink ref="D12" r:id="rId4"/>
    <hyperlink ref="D13" r:id="rId5"/>
    <hyperlink ref="D14:D19" r:id="rId6" display="sales8@luckarm.com"/>
    <hyperlink ref="D20" r:id="rId7"/>
    <hyperlink ref="AK12:AK20" r:id="rId8" display="novikova_n@s3.ru"/>
    <hyperlink ref="D22" r:id="rId9"/>
    <hyperlink ref="D23" r:id="rId10"/>
    <hyperlink ref="D26" r:id="rId11"/>
    <hyperlink ref="D24:D25" r:id="rId12" display="sales42@yourlite.com"/>
    <hyperlink ref="D27" r:id="rId13"/>
    <hyperlink ref="D28" r:id="rId14"/>
    <hyperlink ref="AK28" r:id="rId15"/>
    <hyperlink ref="AK22:AK27" r:id="rId16" display="novikova_n@s3.ru"/>
    <hyperlink ref="AF28" r:id="rId17"/>
    <hyperlink ref="AF27" r:id="rId18"/>
    <hyperlink ref="D29" r:id="rId19"/>
    <hyperlink ref="AK29" r:id="rId20"/>
    <hyperlink ref="AF29" r:id="rId21"/>
    <hyperlink ref="AK30" r:id="rId22"/>
    <hyperlink ref="D30" r:id="rId23"/>
    <hyperlink ref="G36" r:id="rId24"/>
    <hyperlink ref="G32" r:id="rId25"/>
    <hyperlink ref="G34" r:id="rId26"/>
    <hyperlink ref="G35" r:id="rId27"/>
    <hyperlink ref="G37" r:id="rId28"/>
    <hyperlink ref="G38" r:id="rId29"/>
    <hyperlink ref="G39" r:id="rId30"/>
    <hyperlink ref="G40" r:id="rId31"/>
    <hyperlink ref="G41" r:id="rId32"/>
    <hyperlink ref="G42" r:id="rId33"/>
    <hyperlink ref="AI42" r:id="rId34"/>
    <hyperlink ref="AN33:AN42" r:id="rId35" display="golubcov_a@s3.ru"/>
    <hyperlink ref="AN44:AN59" r:id="rId36" display="golubcov_a@s3.ru"/>
    <hyperlink ref="AN61" r:id="rId37"/>
    <hyperlink ref="AN64" r:id="rId38"/>
    <hyperlink ref="AI55" r:id="rId39"/>
    <hyperlink ref="AI56" r:id="rId40" display="C:\Голубцов.Удлинители\Hunlee Youth El\27\27-2.png"/>
    <hyperlink ref="AN62" r:id="rId41"/>
    <hyperlink ref="AI64" r:id="rId42"/>
    <hyperlink ref="AI62" r:id="rId43"/>
    <hyperlink ref="AI61" r:id="rId44"/>
    <hyperlink ref="AI59" r:id="rId45"/>
    <hyperlink ref="AI58" r:id="rId46"/>
    <hyperlink ref="AI57" r:id="rId47"/>
    <hyperlink ref="AK56" r:id="rId48"/>
    <hyperlink ref="AK57" r:id="rId49"/>
    <hyperlink ref="AK58" r:id="rId50"/>
    <hyperlink ref="AK59" r:id="rId51"/>
    <hyperlink ref="AK61" r:id="rId52"/>
    <hyperlink ref="AN63" r:id="rId53"/>
    <hyperlink ref="AI63" r:id="rId54"/>
    <hyperlink ref="AN60" r:id="rId55"/>
    <hyperlink ref="AI60" r:id="rId56"/>
    <hyperlink ref="AK60" r:id="rId57"/>
    <hyperlink ref="AI65" r:id="rId58"/>
    <hyperlink ref="AI66" r:id="rId59"/>
    <hyperlink ref="AN65" r:id="rId60"/>
    <hyperlink ref="AN66" r:id="rId61"/>
    <hyperlink ref="AN67" r:id="rId62"/>
    <hyperlink ref="AI67" r:id="rId63"/>
    <hyperlink ref="AI68" r:id="rId64"/>
    <hyperlink ref="AI69" r:id="rId65"/>
    <hyperlink ref="AI70" r:id="rId66"/>
    <hyperlink ref="AN68" r:id="rId67"/>
    <hyperlink ref="AN69" r:id="rId68"/>
    <hyperlink ref="AN70" r:id="rId69"/>
  </hyperlinks>
  <pageMargins left="0.7" right="0.7" top="0.75" bottom="0.75" header="0.3" footer="0.3"/>
  <legacyDrawing r:id="rId70"/>
  <extLst xmlns:x14="http://schemas.microsoft.com/office/spreadsheetml/2009/9/main">
    <ext uri="{78C0D931-6437-407d-A8EE-F0AAD7539E65}">
      <x14:conditionalFormattings>
        <x14:conditionalFormatting xmlns:xm="http://schemas.microsoft.com/office/excel/2006/main">
          <x14:cfRule type="notContainsText" priority="326" operator="notContains" id="{131FC948-79E7-43B8-AC9C-4727EA3A7A72}">
            <xm:f>ISERROR(SEARCH($AC$272,G2))</xm:f>
            <xm:f>$AC$272</xm:f>
            <x14:dxf>
              <fill>
                <patternFill>
                  <bgColor rgb="FF7030A0"/>
                </patternFill>
              </fill>
            </x14:dxf>
          </x14:cfRule>
          <xm:sqref>G2:G10</xm:sqref>
        </x14:conditionalFormatting>
        <x14:conditionalFormatting xmlns:xm="http://schemas.microsoft.com/office/excel/2006/main">
          <x14:cfRule type="notContainsText" priority="261" operator="notContains" id="{E19D5604-32FC-4D50-A4A9-EE28655F78E1}">
            <xm:f>ISERROR(SEARCH($AC$263,G12))</xm:f>
            <xm:f>$AC$263</xm:f>
            <x14:dxf>
              <fill>
                <patternFill>
                  <bgColor rgb="FF7030A0"/>
                </patternFill>
              </fill>
            </x14:dxf>
          </x14:cfRule>
          <xm:sqref>G12:G20</xm:sqref>
        </x14:conditionalFormatting>
        <x14:conditionalFormatting xmlns:xm="http://schemas.microsoft.com/office/excel/2006/main">
          <x14:cfRule type="notContainsText" priority="230" operator="notContains" id="{7026D8A9-CAD4-4608-9842-5FDDBD263500}">
            <xm:f>ISERROR(SEARCH($AC$254,G22))</xm:f>
            <xm:f>$AC$254</xm:f>
            <x14:dxf>
              <fill>
                <patternFill>
                  <bgColor rgb="FF7030A0"/>
                </patternFill>
              </fill>
            </x14:dxf>
          </x14:cfRule>
          <xm:sqref>G22:G27</xm:sqref>
        </x14:conditionalFormatting>
        <x14:conditionalFormatting xmlns:xm="http://schemas.microsoft.com/office/excel/2006/main">
          <x14:cfRule type="notContainsText" priority="199" operator="notContains" id="{A0EBAFFE-6B86-4479-85F8-99548B5D0F58}">
            <xm:f>ISERROR(SEARCH($AC$254,G28))</xm:f>
            <xm:f>$AC$254</xm:f>
            <x14:dxf>
              <fill>
                <patternFill>
                  <bgColor rgb="FF7030A0"/>
                </patternFill>
              </fill>
            </x14:dxf>
          </x14:cfRule>
          <xm:sqref>G28:G30</xm:sqref>
        </x14:conditionalFormatting>
        <x14:conditionalFormatting xmlns:xm="http://schemas.microsoft.com/office/excel/2006/main">
          <x14:cfRule type="notContainsText" priority="145" operator="notContains" id="{A14C4CCA-2CB0-45BB-8750-46FCEA9D089E}">
            <xm:f>ISERROR(SEARCH($AC$298,J32))</xm:f>
            <xm:f>$AC$298</xm:f>
            <x14:dxf>
              <fill>
                <patternFill>
                  <bgColor rgb="FF7030A0"/>
                </patternFill>
              </fill>
            </x14:dxf>
          </x14:cfRule>
          <xm:sqref>J32:J42</xm:sqref>
        </x14:conditionalFormatting>
        <x14:conditionalFormatting xmlns:xm="http://schemas.microsoft.com/office/excel/2006/main">
          <x14:cfRule type="notContainsText" priority="123" operator="notContains" id="{46ED03A0-E928-4964-B1CD-1E29A93DD14D}">
            <xm:f>ISERROR(SEARCH($AC$289,J44))</xm:f>
            <xm:f>$AC$289</xm:f>
            <x14:dxf>
              <fill>
                <patternFill>
                  <bgColor rgb="FF7030A0"/>
                </patternFill>
              </fill>
            </x14:dxf>
          </x14:cfRule>
          <xm:sqref>J44:J61 J64:J70</xm:sqref>
        </x14:conditionalFormatting>
        <x14:conditionalFormatting xmlns:xm="http://schemas.microsoft.com/office/excel/2006/main">
          <x14:cfRule type="notContainsText" priority="70" operator="notContains" id="{E2480DCF-9929-4421-926C-363746855D66}">
            <xm:f>ISERROR(SEARCH($AC$289,J62))</xm:f>
            <xm:f>$AC$289</xm:f>
            <x14:dxf>
              <fill>
                <patternFill>
                  <bgColor rgb="FF7030A0"/>
                </patternFill>
              </fill>
            </x14:dxf>
          </x14:cfRule>
          <xm:sqref>J62</xm:sqref>
        </x14:conditionalFormatting>
        <x14:conditionalFormatting xmlns:xm="http://schemas.microsoft.com/office/excel/2006/main">
          <x14:cfRule type="notContainsText" priority="52" operator="notContains" id="{701F8062-6B63-46DA-A1EC-7BEA4BF3F35A}">
            <xm:f>ISERROR(SEARCH($AC$289,J63))</xm:f>
            <xm:f>$AC$289</xm:f>
            <x14:dxf>
              <fill>
                <patternFill>
                  <bgColor rgb="FF7030A0"/>
                </patternFill>
              </fill>
            </x14:dxf>
          </x14:cfRule>
          <xm:sqref>J63</xm:sqref>
        </x14:conditionalFormatting>
      </x14:conditionalFormattings>
    </ext>
  </extLst>
</worksheet>
</file>

<file path=xl/worksheets/sheet4.xml><?xml version="1.0" encoding="utf-8"?>
<worksheet xmlns="http://schemas.openxmlformats.org/spreadsheetml/2006/main" xmlns:r="http://schemas.openxmlformats.org/officeDocument/2006/relationships">
  <sheetPr codeName="Лист2"/>
  <dimension ref="A1:S38"/>
  <sheetViews>
    <sheetView workbookViewId="0">
      <selection activeCell="G29" sqref="G29"/>
    </sheetView>
  </sheetViews>
  <sheetFormatPr defaultRowHeight="13.5"/>
  <sheetData>
    <row r="1" spans="1:13">
      <c r="A1" t="s">
        <v>718</v>
      </c>
    </row>
    <row r="2" spans="1:13">
      <c r="A2" t="s">
        <v>719</v>
      </c>
    </row>
    <row r="3" spans="1:13">
      <c r="A3" t="s">
        <v>720</v>
      </c>
    </row>
    <row r="4" spans="1:13">
      <c r="A4" t="s">
        <v>721</v>
      </c>
    </row>
    <row r="5" spans="1:13">
      <c r="A5" t="s">
        <v>722</v>
      </c>
    </row>
    <row r="6" spans="1:13">
      <c r="A6" t="s">
        <v>723</v>
      </c>
    </row>
    <row r="7" spans="1:13">
      <c r="A7" t="s">
        <v>724</v>
      </c>
    </row>
    <row r="10" spans="1:13">
      <c r="K10">
        <v>0.06</v>
      </c>
      <c r="L10">
        <v>1200</v>
      </c>
      <c r="M10">
        <f>K10*L10</f>
        <v>72</v>
      </c>
    </row>
    <row r="11" spans="1:13">
      <c r="K11">
        <v>0.06</v>
      </c>
      <c r="L11">
        <v>1620</v>
      </c>
      <c r="M11">
        <f>K11*L11</f>
        <v>97.2</v>
      </c>
    </row>
    <row r="12" spans="1:13">
      <c r="K12">
        <v>0.06</v>
      </c>
      <c r="L12">
        <v>1920</v>
      </c>
      <c r="M12">
        <f>K12*L12</f>
        <v>115.19999999999999</v>
      </c>
    </row>
    <row r="18" spans="2:19">
      <c r="K18">
        <v>0.06</v>
      </c>
      <c r="L18">
        <v>24096</v>
      </c>
      <c r="M18">
        <f>K18*L18</f>
        <v>1445.76</v>
      </c>
      <c r="Q18">
        <v>0.03</v>
      </c>
      <c r="R18">
        <v>90192</v>
      </c>
      <c r="S18">
        <f>Q18*R18</f>
        <v>2705.7599999999998</v>
      </c>
    </row>
    <row r="19" spans="2:19">
      <c r="B19">
        <v>18571.23</v>
      </c>
      <c r="C19">
        <v>18460.46</v>
      </c>
      <c r="D19">
        <v>12</v>
      </c>
    </row>
    <row r="20" spans="2:19">
      <c r="B20">
        <f>B19-C19</f>
        <v>110.77000000000044</v>
      </c>
      <c r="C20">
        <f>C19*0.05*D19/100</f>
        <v>110.76276</v>
      </c>
    </row>
    <row r="21" spans="2:19">
      <c r="K21">
        <v>60</v>
      </c>
    </row>
    <row r="22" spans="2:19">
      <c r="K22">
        <v>1200</v>
      </c>
    </row>
    <row r="23" spans="2:19">
      <c r="K23">
        <v>1620</v>
      </c>
    </row>
    <row r="24" spans="2:19">
      <c r="K24">
        <v>2220</v>
      </c>
    </row>
    <row r="25" spans="2:19">
      <c r="B25">
        <v>4.5</v>
      </c>
      <c r="C25" t="s">
        <v>787</v>
      </c>
      <c r="K25">
        <v>1920</v>
      </c>
    </row>
    <row r="26" spans="2:19">
      <c r="B26">
        <v>4.5</v>
      </c>
      <c r="C26" t="s">
        <v>788</v>
      </c>
      <c r="K26">
        <v>7560</v>
      </c>
    </row>
    <row r="27" spans="2:19">
      <c r="B27">
        <v>3</v>
      </c>
      <c r="C27" t="s">
        <v>786</v>
      </c>
      <c r="K27">
        <v>9576</v>
      </c>
    </row>
    <row r="28" spans="2:19">
      <c r="B28">
        <v>7.5</v>
      </c>
      <c r="C28" t="s">
        <v>789</v>
      </c>
    </row>
    <row r="29" spans="2:19">
      <c r="J29">
        <v>10</v>
      </c>
      <c r="K29">
        <v>0.06</v>
      </c>
      <c r="L29">
        <v>24156</v>
      </c>
      <c r="M29">
        <f>K29*L29</f>
        <v>1449.36</v>
      </c>
    </row>
    <row r="30" spans="2:19">
      <c r="J30">
        <v>11</v>
      </c>
      <c r="K30">
        <v>0.06</v>
      </c>
      <c r="L30">
        <v>38232</v>
      </c>
      <c r="M30">
        <f>K30*L30</f>
        <v>2293.92</v>
      </c>
    </row>
    <row r="31" spans="2:19">
      <c r="J31">
        <v>12</v>
      </c>
      <c r="K31">
        <v>0.06</v>
      </c>
      <c r="L31">
        <v>31896</v>
      </c>
      <c r="M31">
        <f>K31*L31</f>
        <v>1913.76</v>
      </c>
    </row>
    <row r="32" spans="2:19">
      <c r="J32">
        <v>13</v>
      </c>
      <c r="K32">
        <v>0.06</v>
      </c>
      <c r="L32">
        <v>44436</v>
      </c>
      <c r="M32">
        <f>K32*L32</f>
        <v>2666.16</v>
      </c>
    </row>
    <row r="33" spans="3:13">
      <c r="C33">
        <v>12</v>
      </c>
      <c r="D33">
        <f>C33/C36</f>
        <v>0.22641509433962265</v>
      </c>
      <c r="E33">
        <f>D33*E36</f>
        <v>7.6981132075471699</v>
      </c>
      <c r="F33">
        <f>E33/2</f>
        <v>3.8490566037735849</v>
      </c>
    </row>
    <row r="34" spans="3:13">
      <c r="C34">
        <v>21</v>
      </c>
      <c r="D34">
        <f>C34/C37</f>
        <v>0.39622641509433965</v>
      </c>
      <c r="E34">
        <f>D34*E37</f>
        <v>13.471698113207548</v>
      </c>
      <c r="F34">
        <f>E34</f>
        <v>13.471698113207548</v>
      </c>
    </row>
    <row r="35" spans="3:13">
      <c r="C35">
        <v>20</v>
      </c>
      <c r="D35">
        <f>C35/C38</f>
        <v>0.37735849056603776</v>
      </c>
      <c r="E35">
        <f>D35*E38</f>
        <v>12.830188679245284</v>
      </c>
      <c r="F35">
        <f>E35/2</f>
        <v>6.4150943396226419</v>
      </c>
      <c r="M35" s="225">
        <v>8164.8</v>
      </c>
    </row>
    <row r="36" spans="3:13">
      <c r="C36">
        <f>SUM(C33:C35)</f>
        <v>53</v>
      </c>
      <c r="E36">
        <v>34</v>
      </c>
    </row>
    <row r="37" spans="3:13">
      <c r="C37">
        <v>53</v>
      </c>
      <c r="E37">
        <v>34</v>
      </c>
    </row>
    <row r="38" spans="3:13">
      <c r="C38">
        <v>53</v>
      </c>
      <c r="E38">
        <v>34</v>
      </c>
    </row>
  </sheetData>
  <phoneticPr fontId="5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Otslezhivanie</vt:lpstr>
      <vt:lpstr>Check-list novii postavschik</vt:lpstr>
      <vt:lpstr>Архив!</vt:lpstr>
      <vt:lpstr>Лист1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Tugov Sergey</dc:creator>
  <cp:lastModifiedBy>China</cp:lastModifiedBy>
  <cp:lastPrinted>2018-04-06T05:56:55Z</cp:lastPrinted>
  <dcterms:created xsi:type="dcterms:W3CDTF">2017-08-17T06:05:09Z</dcterms:created>
  <dcterms:modified xsi:type="dcterms:W3CDTF">2020-04-01T03:41:44Z</dcterms:modified>
</cp:coreProperties>
</file>